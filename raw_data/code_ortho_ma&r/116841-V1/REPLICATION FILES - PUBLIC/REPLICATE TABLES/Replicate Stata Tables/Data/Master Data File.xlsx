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5"/>
  <workbookPr showInkAnnotation="0"/>
  <mc:AlternateContent xmlns:mc="http://schemas.openxmlformats.org/markup-compatibility/2006">
    <mc:Choice Requires="x15">
      <x15ac:absPath xmlns:x15ac="http://schemas.microsoft.com/office/spreadsheetml/2010/11/ac" url="/Users/smiranda/Dropbox/LocalProjectionIRFs/AEJ-Macro/Data Revision/REPLICATION FILES - PUBLIC/Replicate Stata Tables/Data/"/>
    </mc:Choice>
  </mc:AlternateContent>
  <xr:revisionPtr revIDLastSave="0" documentId="13_ncr:1_{D63EA18D-0E9A-FD4D-884B-5CE6CA5A109B}" xr6:coauthVersionLast="40" xr6:coauthVersionMax="40" xr10:uidLastSave="{00000000-0000-0000-0000-000000000000}"/>
  <bookViews>
    <workbookView xWindow="0" yWindow="460" windowWidth="25600" windowHeight="14900" tabRatio="500" activeTab="1" xr2:uid="{00000000-000D-0000-FFFF-FFFF00000000}"/>
  </bookViews>
  <sheets>
    <sheet name="README" sheetId="2" r:id="rId1"/>
    <sheet name="DATA2" sheetId="3" r:id="rId2"/>
  </sheets>
  <calcPr calcId="191029"/>
  <extLst>
    <ext xmlns:mx="http://schemas.microsoft.com/office/mac/excel/2008/main" uri="{7523E5D3-25F3-A5E0-1632-64F254C22452}">
      <mx:ArchID Flags="2"/>
    </ext>
  </extLst>
</workbook>
</file>

<file path=xl/calcChain.xml><?xml version="1.0" encoding="utf-8"?>
<calcChain xmlns="http://schemas.openxmlformats.org/spreadsheetml/2006/main">
  <c r="B3" i="3" l="1"/>
  <c r="C3" i="3"/>
  <c r="B4" i="3"/>
  <c r="C4" i="3"/>
  <c r="B5" i="3"/>
  <c r="C5" i="3"/>
  <c r="B6" i="3"/>
  <c r="C6" i="3"/>
  <c r="B7" i="3"/>
  <c r="C7" i="3"/>
  <c r="B8" i="3"/>
  <c r="C8" i="3"/>
  <c r="B9" i="3"/>
  <c r="C9" i="3"/>
  <c r="B10" i="3"/>
  <c r="C10" i="3"/>
  <c r="B11" i="3"/>
  <c r="C11" i="3"/>
  <c r="B12" i="3"/>
  <c r="C12" i="3"/>
  <c r="B13" i="3"/>
  <c r="C13" i="3"/>
  <c r="B14" i="3"/>
  <c r="C14" i="3"/>
  <c r="B15" i="3"/>
  <c r="C15" i="3"/>
  <c r="B16" i="3"/>
  <c r="C16" i="3"/>
  <c r="B17" i="3"/>
  <c r="C17" i="3"/>
  <c r="B18" i="3"/>
  <c r="C18" i="3"/>
  <c r="B19" i="3"/>
  <c r="C19" i="3"/>
  <c r="B20" i="3"/>
  <c r="C20" i="3"/>
  <c r="B21" i="3"/>
  <c r="C21" i="3"/>
  <c r="B22" i="3"/>
  <c r="C22" i="3"/>
  <c r="B23" i="3"/>
  <c r="C23" i="3"/>
  <c r="B24" i="3"/>
  <c r="C24" i="3"/>
  <c r="B25" i="3"/>
  <c r="C25" i="3"/>
  <c r="B26" i="3"/>
  <c r="C26" i="3"/>
  <c r="B27" i="3"/>
  <c r="C27" i="3"/>
  <c r="B28" i="3"/>
  <c r="C28" i="3"/>
  <c r="B29" i="3"/>
  <c r="C29" i="3"/>
  <c r="B30" i="3"/>
  <c r="C30" i="3"/>
  <c r="B31" i="3"/>
  <c r="C31" i="3"/>
  <c r="B32" i="3"/>
  <c r="C32" i="3"/>
  <c r="B33" i="3"/>
  <c r="C33" i="3"/>
  <c r="B34" i="3"/>
  <c r="C34" i="3"/>
  <c r="B35" i="3"/>
  <c r="C35" i="3"/>
  <c r="B36" i="3"/>
  <c r="C36" i="3"/>
  <c r="B37" i="3"/>
  <c r="C37" i="3"/>
  <c r="B38" i="3"/>
  <c r="C38" i="3"/>
  <c r="B39" i="3"/>
  <c r="C39" i="3"/>
  <c r="B40" i="3"/>
  <c r="C40" i="3"/>
  <c r="B41" i="3"/>
  <c r="C41" i="3"/>
  <c r="B42" i="3"/>
  <c r="C42" i="3"/>
  <c r="B43" i="3"/>
  <c r="C43" i="3"/>
  <c r="B44" i="3"/>
  <c r="C44" i="3"/>
  <c r="B45" i="3"/>
  <c r="C45" i="3"/>
  <c r="B46" i="3"/>
  <c r="C46" i="3"/>
  <c r="B47" i="3"/>
  <c r="C47" i="3"/>
  <c r="B48" i="3"/>
  <c r="C48" i="3"/>
  <c r="B49" i="3"/>
  <c r="C49" i="3"/>
  <c r="B50" i="3"/>
  <c r="C50" i="3"/>
  <c r="B51" i="3"/>
  <c r="C51" i="3"/>
  <c r="B52" i="3"/>
  <c r="C52" i="3"/>
  <c r="B53" i="3"/>
  <c r="C53" i="3"/>
  <c r="B54" i="3"/>
  <c r="C54" i="3"/>
  <c r="B55" i="3"/>
  <c r="C55" i="3"/>
  <c r="B56" i="3"/>
  <c r="C56" i="3"/>
  <c r="B57" i="3"/>
  <c r="C57" i="3"/>
  <c r="B58" i="3"/>
  <c r="C58" i="3"/>
  <c r="B59" i="3"/>
  <c r="C59" i="3"/>
  <c r="B60" i="3"/>
  <c r="C60" i="3"/>
  <c r="B61" i="3"/>
  <c r="C61" i="3"/>
  <c r="B62" i="3"/>
  <c r="C62" i="3"/>
  <c r="B63" i="3"/>
  <c r="C63" i="3"/>
  <c r="B64" i="3"/>
  <c r="C64" i="3"/>
  <c r="B65" i="3"/>
  <c r="C65" i="3"/>
  <c r="B66" i="3"/>
  <c r="C66" i="3"/>
  <c r="B67" i="3"/>
  <c r="C67" i="3"/>
  <c r="B68" i="3"/>
  <c r="C68" i="3"/>
  <c r="B69" i="3"/>
  <c r="C69" i="3"/>
  <c r="B70" i="3"/>
  <c r="C70" i="3"/>
  <c r="B71" i="3"/>
  <c r="C71" i="3"/>
  <c r="B72" i="3"/>
  <c r="C72" i="3"/>
  <c r="B73" i="3"/>
  <c r="C73" i="3"/>
  <c r="B74" i="3"/>
  <c r="C74" i="3"/>
  <c r="B75" i="3"/>
  <c r="C75" i="3"/>
  <c r="B76" i="3"/>
  <c r="C76" i="3"/>
  <c r="B77" i="3"/>
  <c r="C77" i="3"/>
  <c r="B78" i="3"/>
  <c r="C78" i="3"/>
  <c r="B79" i="3"/>
  <c r="C79" i="3"/>
  <c r="B80" i="3"/>
  <c r="C80" i="3"/>
  <c r="B81" i="3"/>
  <c r="C81" i="3"/>
  <c r="B82" i="3"/>
  <c r="C82" i="3"/>
  <c r="B83" i="3"/>
  <c r="C83" i="3"/>
  <c r="B84" i="3"/>
  <c r="C84" i="3"/>
  <c r="B85" i="3"/>
  <c r="C85" i="3"/>
  <c r="B86" i="3"/>
  <c r="C86" i="3"/>
  <c r="B87" i="3"/>
  <c r="C87" i="3"/>
  <c r="B88" i="3"/>
  <c r="C88" i="3"/>
  <c r="B89" i="3"/>
  <c r="C89" i="3"/>
  <c r="B90" i="3"/>
  <c r="C90" i="3"/>
  <c r="B91" i="3"/>
  <c r="C91" i="3"/>
  <c r="B92" i="3"/>
  <c r="C92" i="3"/>
  <c r="B93" i="3"/>
  <c r="C93" i="3"/>
  <c r="B94" i="3"/>
  <c r="C94" i="3"/>
  <c r="B95" i="3"/>
  <c r="C95" i="3"/>
  <c r="B96" i="3"/>
  <c r="C96" i="3"/>
  <c r="B97" i="3"/>
  <c r="C97" i="3"/>
  <c r="B98" i="3"/>
  <c r="C98" i="3"/>
  <c r="B99" i="3"/>
  <c r="C99" i="3"/>
  <c r="B100" i="3"/>
  <c r="C100" i="3"/>
  <c r="B101" i="3"/>
  <c r="C101" i="3"/>
  <c r="B102" i="3"/>
  <c r="C102" i="3"/>
  <c r="B103" i="3"/>
  <c r="C103" i="3"/>
  <c r="B104" i="3"/>
  <c r="C104" i="3"/>
  <c r="B105" i="3"/>
  <c r="C105" i="3"/>
  <c r="B106" i="3"/>
  <c r="C106" i="3"/>
  <c r="B107" i="3"/>
  <c r="C107" i="3"/>
  <c r="B108" i="3"/>
  <c r="C108" i="3"/>
  <c r="B109" i="3"/>
  <c r="C109" i="3"/>
  <c r="B110" i="3"/>
  <c r="C110" i="3"/>
  <c r="B111" i="3"/>
  <c r="C111" i="3"/>
  <c r="B112" i="3"/>
  <c r="C112" i="3"/>
  <c r="B113" i="3"/>
  <c r="C113" i="3"/>
  <c r="B114" i="3"/>
  <c r="C114" i="3"/>
  <c r="B115" i="3"/>
  <c r="C115" i="3"/>
  <c r="B116" i="3"/>
  <c r="C116" i="3"/>
  <c r="B117" i="3"/>
  <c r="C117" i="3"/>
  <c r="B118" i="3"/>
  <c r="C118" i="3"/>
  <c r="B119" i="3"/>
  <c r="C119" i="3"/>
  <c r="B120" i="3"/>
  <c r="C120" i="3"/>
  <c r="B121" i="3"/>
  <c r="C121" i="3"/>
  <c r="B122" i="3"/>
  <c r="C122" i="3"/>
  <c r="B123" i="3"/>
  <c r="C123" i="3"/>
  <c r="B124" i="3"/>
  <c r="C124" i="3"/>
  <c r="B125" i="3"/>
  <c r="C125" i="3"/>
  <c r="B126" i="3"/>
  <c r="C126" i="3"/>
  <c r="B127" i="3"/>
  <c r="C127" i="3"/>
  <c r="B128" i="3"/>
  <c r="C128" i="3"/>
  <c r="B129" i="3"/>
  <c r="C129" i="3"/>
  <c r="B130" i="3"/>
  <c r="C130" i="3"/>
  <c r="B131" i="3"/>
  <c r="C131" i="3"/>
  <c r="B132" i="3"/>
  <c r="C132" i="3"/>
  <c r="B133" i="3"/>
  <c r="C133" i="3"/>
  <c r="B134" i="3"/>
  <c r="C134" i="3"/>
  <c r="B135" i="3"/>
  <c r="C135" i="3"/>
  <c r="B136" i="3"/>
  <c r="C136" i="3"/>
  <c r="B137" i="3"/>
  <c r="C137" i="3"/>
  <c r="B138" i="3"/>
  <c r="C138" i="3"/>
  <c r="B139" i="3"/>
  <c r="C139" i="3"/>
  <c r="B140" i="3"/>
  <c r="C140" i="3"/>
  <c r="B141" i="3"/>
  <c r="C141" i="3"/>
  <c r="B142" i="3"/>
  <c r="C142" i="3"/>
  <c r="B143" i="3"/>
  <c r="C143" i="3"/>
  <c r="B144" i="3"/>
  <c r="C144" i="3"/>
  <c r="B145" i="3"/>
  <c r="C145" i="3"/>
  <c r="B146" i="3"/>
  <c r="C146" i="3"/>
  <c r="B147" i="3"/>
  <c r="C147" i="3"/>
  <c r="B148" i="3"/>
  <c r="C148" i="3"/>
  <c r="B149" i="3"/>
  <c r="C149" i="3"/>
  <c r="B150" i="3"/>
  <c r="C150" i="3"/>
  <c r="B151" i="3"/>
  <c r="C151" i="3"/>
  <c r="B152" i="3"/>
  <c r="C152" i="3"/>
  <c r="B153" i="3"/>
  <c r="C153" i="3"/>
  <c r="B154" i="3"/>
  <c r="C154" i="3"/>
  <c r="B155" i="3"/>
  <c r="C155" i="3"/>
  <c r="B156" i="3"/>
  <c r="C156" i="3"/>
  <c r="B157" i="3"/>
  <c r="C157" i="3"/>
  <c r="B158" i="3"/>
  <c r="C158" i="3"/>
  <c r="B159" i="3"/>
  <c r="C159" i="3"/>
  <c r="B160" i="3"/>
  <c r="C160" i="3"/>
  <c r="B161" i="3"/>
  <c r="C161" i="3"/>
  <c r="B162" i="3"/>
  <c r="C162" i="3"/>
  <c r="B163" i="3"/>
  <c r="C163" i="3"/>
  <c r="B164" i="3"/>
  <c r="C164" i="3"/>
  <c r="B165" i="3"/>
  <c r="C165" i="3"/>
  <c r="B166" i="3"/>
  <c r="C166" i="3"/>
  <c r="B167" i="3"/>
  <c r="C167" i="3"/>
  <c r="B168" i="3"/>
  <c r="C168" i="3"/>
  <c r="B169" i="3"/>
  <c r="C169" i="3"/>
  <c r="B170" i="3"/>
  <c r="C170" i="3"/>
  <c r="B171" i="3"/>
  <c r="C171" i="3"/>
  <c r="B172" i="3"/>
  <c r="C172" i="3"/>
  <c r="B173" i="3"/>
  <c r="C173" i="3"/>
  <c r="B174" i="3"/>
  <c r="C174" i="3"/>
  <c r="B175" i="3"/>
  <c r="C175" i="3"/>
  <c r="B176" i="3"/>
  <c r="C176" i="3"/>
  <c r="B177" i="3"/>
  <c r="C177" i="3"/>
  <c r="B178" i="3"/>
  <c r="C178" i="3"/>
  <c r="B179" i="3"/>
  <c r="C179" i="3"/>
  <c r="B180" i="3"/>
  <c r="C180" i="3"/>
  <c r="B181" i="3"/>
  <c r="C181" i="3"/>
  <c r="B182" i="3"/>
  <c r="C182" i="3"/>
  <c r="B183" i="3"/>
  <c r="C183" i="3"/>
  <c r="B184" i="3"/>
  <c r="C184" i="3"/>
  <c r="B185" i="3"/>
  <c r="C185" i="3"/>
  <c r="B186" i="3"/>
  <c r="C186" i="3"/>
  <c r="B187" i="3"/>
  <c r="C187" i="3"/>
  <c r="B188" i="3"/>
  <c r="C188" i="3"/>
  <c r="B189" i="3"/>
  <c r="C189" i="3"/>
  <c r="B190" i="3"/>
  <c r="C190" i="3"/>
  <c r="B191" i="3"/>
  <c r="C191" i="3"/>
  <c r="B192" i="3"/>
  <c r="C192" i="3"/>
  <c r="B193" i="3"/>
  <c r="C193" i="3"/>
  <c r="B194" i="3"/>
  <c r="C194" i="3"/>
  <c r="B195" i="3"/>
  <c r="C195" i="3"/>
  <c r="B196" i="3"/>
  <c r="C196" i="3"/>
  <c r="B197" i="3"/>
  <c r="C197" i="3"/>
  <c r="B198" i="3"/>
  <c r="C198" i="3"/>
  <c r="B199" i="3"/>
  <c r="C199" i="3"/>
  <c r="B200" i="3"/>
  <c r="C200" i="3"/>
  <c r="B201" i="3"/>
  <c r="C201" i="3"/>
  <c r="B202" i="3"/>
  <c r="C202" i="3"/>
  <c r="B203" i="3"/>
  <c r="C203" i="3"/>
  <c r="B204" i="3"/>
  <c r="C204" i="3"/>
  <c r="B205" i="3"/>
  <c r="C205" i="3"/>
  <c r="B206" i="3"/>
  <c r="C206" i="3"/>
  <c r="B207" i="3"/>
  <c r="C207" i="3"/>
  <c r="B208" i="3"/>
  <c r="C208" i="3"/>
  <c r="B209" i="3"/>
  <c r="C209" i="3"/>
  <c r="B210" i="3"/>
  <c r="C210" i="3"/>
  <c r="B211" i="3"/>
  <c r="C211" i="3"/>
  <c r="B212" i="3"/>
  <c r="C212" i="3"/>
  <c r="B213" i="3"/>
  <c r="C213" i="3"/>
  <c r="B214" i="3"/>
  <c r="C214" i="3"/>
  <c r="B215" i="3"/>
  <c r="C215" i="3"/>
  <c r="B216" i="3"/>
  <c r="C216" i="3"/>
  <c r="B217" i="3"/>
  <c r="C217" i="3"/>
  <c r="B218" i="3"/>
  <c r="C218" i="3"/>
  <c r="B219" i="3"/>
  <c r="C219" i="3"/>
  <c r="B220" i="3"/>
  <c r="C220" i="3"/>
  <c r="B221" i="3"/>
  <c r="C221" i="3"/>
  <c r="B222" i="3"/>
  <c r="C222" i="3"/>
  <c r="B223" i="3"/>
  <c r="C223" i="3"/>
  <c r="B224" i="3"/>
  <c r="C224" i="3"/>
  <c r="B225" i="3"/>
  <c r="C225" i="3"/>
  <c r="B226" i="3"/>
  <c r="C226" i="3"/>
  <c r="B227" i="3"/>
  <c r="C227" i="3"/>
  <c r="B228" i="3"/>
  <c r="C228" i="3"/>
  <c r="B229" i="3"/>
  <c r="C229" i="3"/>
  <c r="B230" i="3"/>
  <c r="C230" i="3"/>
  <c r="B231" i="3"/>
  <c r="C231" i="3"/>
  <c r="B232" i="3"/>
  <c r="C232" i="3"/>
  <c r="B233" i="3"/>
  <c r="C233" i="3"/>
  <c r="B234" i="3"/>
  <c r="C234" i="3"/>
  <c r="B235" i="3"/>
  <c r="C235" i="3"/>
  <c r="B236" i="3"/>
  <c r="C236" i="3"/>
  <c r="B237" i="3"/>
  <c r="C237" i="3"/>
  <c r="B238" i="3"/>
  <c r="C238" i="3"/>
  <c r="B239" i="3"/>
  <c r="C239" i="3"/>
  <c r="B240" i="3"/>
  <c r="C240" i="3"/>
  <c r="B241" i="3"/>
  <c r="C241" i="3"/>
  <c r="B242" i="3"/>
  <c r="C242" i="3"/>
  <c r="B243" i="3"/>
  <c r="C243" i="3"/>
  <c r="B244" i="3"/>
  <c r="C244" i="3"/>
  <c r="B245" i="3"/>
  <c r="C245" i="3"/>
  <c r="B246" i="3"/>
  <c r="C246" i="3"/>
  <c r="B247" i="3"/>
  <c r="C247" i="3"/>
  <c r="B248" i="3"/>
  <c r="C248" i="3"/>
  <c r="B249" i="3"/>
  <c r="C249" i="3"/>
  <c r="B250" i="3"/>
  <c r="C250" i="3"/>
  <c r="B251" i="3"/>
  <c r="C251" i="3"/>
  <c r="B252" i="3"/>
  <c r="C252" i="3"/>
  <c r="B253" i="3"/>
  <c r="C253" i="3"/>
  <c r="B254" i="3"/>
  <c r="C254" i="3"/>
  <c r="B255" i="3"/>
  <c r="C255" i="3"/>
  <c r="B256" i="3"/>
  <c r="C256" i="3"/>
  <c r="B257" i="3"/>
  <c r="C257" i="3"/>
  <c r="B258" i="3"/>
  <c r="C258" i="3"/>
  <c r="B259" i="3"/>
  <c r="C259" i="3"/>
  <c r="B260" i="3"/>
  <c r="C260" i="3"/>
  <c r="B261" i="3"/>
  <c r="C261" i="3"/>
  <c r="B262" i="3"/>
  <c r="C262" i="3"/>
  <c r="B263" i="3"/>
  <c r="C263" i="3"/>
  <c r="B264" i="3"/>
  <c r="C264" i="3"/>
  <c r="B265" i="3"/>
  <c r="C265" i="3"/>
  <c r="B266" i="3"/>
  <c r="C266" i="3"/>
  <c r="B267" i="3"/>
  <c r="C267" i="3"/>
  <c r="B268" i="3"/>
  <c r="C268" i="3"/>
  <c r="B269" i="3"/>
  <c r="C269" i="3"/>
  <c r="B270" i="3"/>
  <c r="C270" i="3"/>
  <c r="B271" i="3"/>
  <c r="C271" i="3"/>
  <c r="B272" i="3"/>
  <c r="C272" i="3"/>
  <c r="B273" i="3"/>
  <c r="C273" i="3"/>
  <c r="B274" i="3"/>
  <c r="C274" i="3"/>
  <c r="B275" i="3"/>
  <c r="C275" i="3"/>
  <c r="B276" i="3"/>
  <c r="C276" i="3"/>
  <c r="B277" i="3"/>
  <c r="C277" i="3"/>
  <c r="B278" i="3"/>
  <c r="C278" i="3"/>
  <c r="B279" i="3"/>
  <c r="C279" i="3"/>
  <c r="B280" i="3"/>
  <c r="C280" i="3"/>
  <c r="B281" i="3"/>
  <c r="C281" i="3"/>
  <c r="B282" i="3"/>
  <c r="C282" i="3"/>
  <c r="B283" i="3"/>
  <c r="C283" i="3"/>
  <c r="B284" i="3"/>
  <c r="C284" i="3"/>
  <c r="B285" i="3"/>
  <c r="C285" i="3"/>
  <c r="B286" i="3"/>
  <c r="C286" i="3"/>
  <c r="B287" i="3"/>
  <c r="C287" i="3"/>
  <c r="B288" i="3"/>
  <c r="C288" i="3"/>
  <c r="B289" i="3"/>
  <c r="C289" i="3"/>
  <c r="B290" i="3"/>
  <c r="C290" i="3"/>
  <c r="B291" i="3"/>
  <c r="C291" i="3"/>
  <c r="B292" i="3"/>
  <c r="C292" i="3"/>
  <c r="B293" i="3"/>
  <c r="C293" i="3"/>
  <c r="B294" i="3"/>
  <c r="C294" i="3"/>
  <c r="B295" i="3"/>
  <c r="C295" i="3"/>
  <c r="B296" i="3"/>
  <c r="C296" i="3"/>
  <c r="B297" i="3"/>
  <c r="C297" i="3"/>
  <c r="B298" i="3"/>
  <c r="C298" i="3"/>
  <c r="B299" i="3"/>
  <c r="C299" i="3"/>
  <c r="B300" i="3"/>
  <c r="C300" i="3"/>
  <c r="B301" i="3"/>
  <c r="C301" i="3"/>
  <c r="B302" i="3"/>
  <c r="C302" i="3"/>
  <c r="C2" i="3"/>
  <c r="B2" i="3"/>
  <c r="AD48" i="3"/>
  <c r="AD45" i="3"/>
  <c r="AM45" i="3"/>
  <c r="AM48" i="3"/>
  <c r="AM94" i="3"/>
  <c r="AD94" i="3"/>
  <c r="U94" i="3"/>
  <c r="U48" i="3"/>
  <c r="U45" i="3"/>
  <c r="AL255" i="3"/>
  <c r="AK255" i="3"/>
  <c r="AJ255" i="3"/>
  <c r="AI255" i="3"/>
  <c r="AC255" i="3"/>
  <c r="AB255" i="3"/>
  <c r="AA255" i="3"/>
  <c r="Z255" i="3"/>
  <c r="T255" i="3"/>
  <c r="S255" i="3"/>
  <c r="R255" i="3"/>
  <c r="Q255" i="3"/>
  <c r="AL247" i="3"/>
  <c r="AK247" i="3"/>
  <c r="AJ247" i="3"/>
  <c r="AI247" i="3"/>
  <c r="AC247" i="3"/>
  <c r="AB247" i="3"/>
  <c r="AA247" i="3"/>
  <c r="Z247" i="3"/>
  <c r="T247" i="3"/>
  <c r="S247" i="3"/>
  <c r="R247" i="3"/>
  <c r="Q247" i="3"/>
  <c r="AL193" i="3"/>
  <c r="AK193" i="3"/>
  <c r="AJ193" i="3"/>
  <c r="AI193" i="3"/>
  <c r="AC193" i="3"/>
  <c r="AB193" i="3"/>
  <c r="AA193" i="3"/>
  <c r="Z193" i="3"/>
  <c r="T193" i="3"/>
  <c r="S193" i="3"/>
  <c r="R193" i="3"/>
  <c r="Q193" i="3"/>
  <c r="AL189" i="3"/>
  <c r="AK189" i="3"/>
  <c r="AJ189" i="3"/>
  <c r="AI189" i="3"/>
  <c r="AC189" i="3"/>
  <c r="AB189" i="3"/>
  <c r="AA189" i="3"/>
  <c r="Z189" i="3"/>
  <c r="T189" i="3"/>
  <c r="S189" i="3"/>
  <c r="R189" i="3"/>
  <c r="Q189" i="3"/>
  <c r="AL186" i="3"/>
  <c r="AK186" i="3"/>
  <c r="AJ186" i="3"/>
  <c r="AI186" i="3"/>
  <c r="AC186" i="3"/>
  <c r="AB186" i="3"/>
  <c r="AA186" i="3"/>
  <c r="Z186" i="3"/>
  <c r="T186" i="3"/>
  <c r="S186" i="3"/>
  <c r="R186" i="3"/>
  <c r="Q186" i="3"/>
  <c r="AL167" i="3"/>
  <c r="AK167" i="3"/>
  <c r="AJ167" i="3"/>
  <c r="AI167" i="3"/>
  <c r="AC167" i="3"/>
  <c r="AB167" i="3"/>
  <c r="AA167" i="3"/>
  <c r="Z167" i="3"/>
  <c r="T167" i="3"/>
  <c r="S167" i="3"/>
  <c r="R167" i="3"/>
  <c r="Q167" i="3"/>
  <c r="AL130" i="3"/>
  <c r="AK130" i="3"/>
  <c r="AJ130" i="3"/>
  <c r="AI130" i="3"/>
  <c r="AC130" i="3"/>
  <c r="AB130" i="3"/>
  <c r="AA130" i="3"/>
  <c r="Z130" i="3"/>
  <c r="T130" i="3"/>
  <c r="S130" i="3"/>
  <c r="R130" i="3"/>
  <c r="Q130" i="3"/>
  <c r="AL116" i="3"/>
  <c r="AK116" i="3"/>
  <c r="AJ116" i="3"/>
  <c r="AI116" i="3"/>
  <c r="AC116" i="3"/>
  <c r="AB116" i="3"/>
  <c r="AA116" i="3"/>
  <c r="Z116" i="3"/>
  <c r="T116" i="3"/>
  <c r="S116" i="3"/>
  <c r="R116" i="3"/>
  <c r="Q116" i="3"/>
  <c r="AL103" i="3"/>
  <c r="AK103" i="3"/>
  <c r="AJ103" i="3"/>
  <c r="AI103" i="3"/>
  <c r="AC103" i="3"/>
  <c r="AB103" i="3"/>
  <c r="AA103" i="3"/>
  <c r="Z103" i="3"/>
  <c r="T103" i="3"/>
  <c r="S103" i="3"/>
  <c r="R103" i="3"/>
  <c r="Q103" i="3"/>
  <c r="AL98" i="3"/>
  <c r="AK98" i="3"/>
  <c r="AJ98" i="3"/>
  <c r="AI98" i="3"/>
  <c r="AC98" i="3"/>
  <c r="AB98" i="3"/>
  <c r="AA98" i="3"/>
  <c r="Z98" i="3"/>
  <c r="T98" i="3"/>
  <c r="S98" i="3"/>
  <c r="R98" i="3"/>
  <c r="Q98" i="3"/>
  <c r="AL93" i="3"/>
  <c r="AL94" i="3" s="1"/>
  <c r="AK93" i="3"/>
  <c r="AJ93" i="3"/>
  <c r="AI93" i="3"/>
  <c r="AC93" i="3"/>
  <c r="AC94" i="3" s="1"/>
  <c r="AB93" i="3"/>
  <c r="AA93" i="3"/>
  <c r="Z93" i="3"/>
  <c r="T93" i="3"/>
  <c r="T94" i="3" s="1"/>
  <c r="S93" i="3"/>
  <c r="R93" i="3"/>
  <c r="R94" i="3" s="1"/>
  <c r="Q93" i="3"/>
  <c r="Q94" i="3" s="1"/>
  <c r="AL91" i="3"/>
  <c r="AK91" i="3"/>
  <c r="AJ91" i="3"/>
  <c r="AI91" i="3"/>
  <c r="AC91" i="3"/>
  <c r="AB91" i="3"/>
  <c r="AA91" i="3"/>
  <c r="Z91" i="3"/>
  <c r="T91" i="3"/>
  <c r="S91" i="3"/>
  <c r="R91" i="3"/>
  <c r="Q91" i="3"/>
  <c r="AL73" i="3"/>
  <c r="AK73" i="3"/>
  <c r="AJ73" i="3"/>
  <c r="AI73" i="3"/>
  <c r="AC73" i="3"/>
  <c r="AB73" i="3"/>
  <c r="AA73" i="3"/>
  <c r="Z73" i="3"/>
  <c r="T73" i="3"/>
  <c r="S73" i="3"/>
  <c r="R73" i="3"/>
  <c r="Q73" i="3"/>
  <c r="AL67" i="3"/>
  <c r="AK67" i="3"/>
  <c r="AJ67" i="3"/>
  <c r="AI67" i="3"/>
  <c r="AC67" i="3"/>
  <c r="AB67" i="3"/>
  <c r="AA67" i="3"/>
  <c r="Z67" i="3"/>
  <c r="T67" i="3"/>
  <c r="S67" i="3"/>
  <c r="R67" i="3"/>
  <c r="Q67" i="3"/>
  <c r="AM56" i="3"/>
  <c r="AL57" i="3" s="1"/>
  <c r="AL56" i="3"/>
  <c r="AK57" i="3" s="1"/>
  <c r="AK56" i="3"/>
  <c r="AJ57" i="3" s="1"/>
  <c r="AJ56" i="3"/>
  <c r="AI57" i="3"/>
  <c r="AD56" i="3"/>
  <c r="AC57" i="3" s="1"/>
  <c r="AC56" i="3"/>
  <c r="AB57" i="3"/>
  <c r="AB56" i="3"/>
  <c r="AA57" i="3" s="1"/>
  <c r="AA56" i="3"/>
  <c r="Z57" i="3" s="1"/>
  <c r="U56" i="3"/>
  <c r="T57" i="3" s="1"/>
  <c r="T56" i="3"/>
  <c r="S57" i="3" s="1"/>
  <c r="S56" i="3"/>
  <c r="R57" i="3" s="1"/>
  <c r="R56" i="3"/>
  <c r="Q57" i="3" s="1"/>
  <c r="AL54" i="3"/>
  <c r="AK54" i="3"/>
  <c r="AJ54" i="3"/>
  <c r="AI54" i="3"/>
  <c r="AC54" i="3"/>
  <c r="AB54" i="3"/>
  <c r="AA54" i="3"/>
  <c r="Z54" i="3"/>
  <c r="T54" i="3"/>
  <c r="S54" i="3"/>
  <c r="R54" i="3"/>
  <c r="Q54" i="3"/>
  <c r="AL51" i="3"/>
  <c r="AK51" i="3"/>
  <c r="AJ51" i="3"/>
  <c r="AI51" i="3"/>
  <c r="AC51" i="3"/>
  <c r="AB51" i="3"/>
  <c r="AA51" i="3"/>
  <c r="Z51" i="3"/>
  <c r="T51" i="3"/>
  <c r="S51" i="3"/>
  <c r="R51" i="3"/>
  <c r="Q51" i="3"/>
  <c r="AL47" i="3"/>
  <c r="AL48" i="3" s="1"/>
  <c r="AK47" i="3"/>
  <c r="AJ47" i="3"/>
  <c r="AI47" i="3"/>
  <c r="AC47" i="3"/>
  <c r="AC48" i="3" s="1"/>
  <c r="AB47" i="3"/>
  <c r="AB48" i="3" s="1"/>
  <c r="AA47" i="3"/>
  <c r="Z47" i="3"/>
  <c r="T47" i="3"/>
  <c r="T48" i="3" s="1"/>
  <c r="S47" i="3"/>
  <c r="S48" i="3" s="1"/>
  <c r="R47" i="3"/>
  <c r="R48" i="3" s="1"/>
  <c r="Q47" i="3"/>
  <c r="Q48" i="3" s="1"/>
  <c r="AL44" i="3"/>
  <c r="AL45" i="3" s="1"/>
  <c r="AK44" i="3"/>
  <c r="AK45" i="3" s="1"/>
  <c r="AJ44" i="3"/>
  <c r="AI44" i="3"/>
  <c r="AI45" i="3" s="1"/>
  <c r="AC44" i="3"/>
  <c r="AC45" i="3" s="1"/>
  <c r="AB44" i="3"/>
  <c r="AB45" i="3" s="1"/>
  <c r="AA44" i="3"/>
  <c r="Z44" i="3"/>
  <c r="T44" i="3"/>
  <c r="T45" i="3" s="1"/>
  <c r="S44" i="3"/>
  <c r="R44" i="3"/>
  <c r="Q44" i="3"/>
  <c r="AL37" i="3"/>
  <c r="AK37" i="3"/>
  <c r="AJ37" i="3"/>
  <c r="AI37" i="3"/>
  <c r="AC37" i="3"/>
  <c r="AB37" i="3"/>
  <c r="AA37" i="3"/>
  <c r="Z37" i="3"/>
  <c r="T37" i="3"/>
  <c r="S37" i="3"/>
  <c r="R37" i="3"/>
  <c r="Q37" i="3"/>
  <c r="AL21" i="3"/>
  <c r="AK21" i="3"/>
  <c r="AJ21" i="3"/>
  <c r="AI21" i="3"/>
  <c r="AC21" i="3"/>
  <c r="AB21" i="3"/>
  <c r="AA21" i="3"/>
  <c r="Z21" i="3"/>
  <c r="T21" i="3"/>
  <c r="R21" i="3"/>
  <c r="S21" i="3"/>
  <c r="Q21" i="3"/>
  <c r="AM257" i="3"/>
  <c r="AM258" i="3" s="1"/>
  <c r="AL257" i="3"/>
  <c r="AL258" i="3" s="1"/>
  <c r="AK257" i="3"/>
  <c r="AK258" i="3" s="1"/>
  <c r="AJ257" i="3"/>
  <c r="AJ258" i="3" s="1"/>
  <c r="AI257" i="3"/>
  <c r="AI258" i="3" s="1"/>
  <c r="AD257" i="3"/>
  <c r="AD258" i="3" s="1"/>
  <c r="AC257" i="3"/>
  <c r="AC258" i="3" s="1"/>
  <c r="AB257" i="3"/>
  <c r="AB258" i="3" s="1"/>
  <c r="AA257" i="3"/>
  <c r="AA258" i="3" s="1"/>
  <c r="Z257" i="3"/>
  <c r="Z258" i="3" s="1"/>
  <c r="U257" i="3"/>
  <c r="U258" i="3" s="1"/>
  <c r="T257" i="3"/>
  <c r="T258" i="3" s="1"/>
  <c r="S257" i="3"/>
  <c r="S258" i="3" s="1"/>
  <c r="R257" i="3"/>
  <c r="R258" i="3" s="1"/>
  <c r="Q257" i="3"/>
  <c r="Q258" i="3" s="1"/>
  <c r="AM249" i="3"/>
  <c r="AL249" i="3"/>
  <c r="AK249" i="3"/>
  <c r="AJ249" i="3"/>
  <c r="AI249" i="3"/>
  <c r="AD249" i="3"/>
  <c r="AC249" i="3"/>
  <c r="AB249" i="3"/>
  <c r="AA249" i="3"/>
  <c r="Z249" i="3"/>
  <c r="U249" i="3"/>
  <c r="T249" i="3"/>
  <c r="S249" i="3"/>
  <c r="R249" i="3"/>
  <c r="Q249" i="3"/>
  <c r="AM242" i="3"/>
  <c r="AM243" i="3"/>
  <c r="AL242" i="3"/>
  <c r="AL243" i="3" s="1"/>
  <c r="AK242" i="3"/>
  <c r="AK243" i="3" s="1"/>
  <c r="AJ242" i="3"/>
  <c r="AJ243" i="3" s="1"/>
  <c r="AI242" i="3"/>
  <c r="AI243" i="3"/>
  <c r="AD242" i="3"/>
  <c r="AD243" i="3" s="1"/>
  <c r="AC242" i="3"/>
  <c r="AC243" i="3"/>
  <c r="AB242" i="3"/>
  <c r="AB243" i="3" s="1"/>
  <c r="AA242" i="3"/>
  <c r="AA243" i="3" s="1"/>
  <c r="Z242" i="3"/>
  <c r="Z243" i="3" s="1"/>
  <c r="U242" i="3"/>
  <c r="U243" i="3" s="1"/>
  <c r="T242" i="3"/>
  <c r="T243" i="3" s="1"/>
  <c r="S242" i="3"/>
  <c r="S243" i="3"/>
  <c r="R242" i="3"/>
  <c r="R243" i="3" s="1"/>
  <c r="Q242" i="3"/>
  <c r="Q243" i="3"/>
  <c r="AM112" i="3"/>
  <c r="AL112" i="3"/>
  <c r="AK112" i="3"/>
  <c r="AJ112" i="3"/>
  <c r="AI112" i="3"/>
  <c r="AD112" i="3"/>
  <c r="AC112" i="3"/>
  <c r="AB112" i="3"/>
  <c r="AA112" i="3"/>
  <c r="Z112" i="3"/>
  <c r="U112" i="3"/>
  <c r="T112" i="3"/>
  <c r="S112" i="3"/>
  <c r="R112" i="3"/>
  <c r="Q112" i="3"/>
  <c r="AM109" i="3"/>
  <c r="AL109" i="3"/>
  <c r="AK109" i="3"/>
  <c r="AJ109" i="3"/>
  <c r="AI109" i="3"/>
  <c r="AD109" i="3"/>
  <c r="AC109" i="3"/>
  <c r="AB109" i="3"/>
  <c r="AA109" i="3"/>
  <c r="Z109" i="3"/>
  <c r="U109" i="3"/>
  <c r="T109" i="3"/>
  <c r="S109" i="3"/>
  <c r="R109" i="3"/>
  <c r="Q109" i="3"/>
  <c r="AM107" i="3"/>
  <c r="AL107" i="3"/>
  <c r="AK107" i="3"/>
  <c r="AJ107" i="3"/>
  <c r="AI107" i="3"/>
  <c r="AD107" i="3"/>
  <c r="AC107" i="3"/>
  <c r="AB107" i="3"/>
  <c r="AA107" i="3"/>
  <c r="Z107" i="3"/>
  <c r="U107" i="3"/>
  <c r="T107" i="3"/>
  <c r="S107" i="3"/>
  <c r="R107" i="3"/>
  <c r="Q107" i="3"/>
  <c r="AM105" i="3"/>
  <c r="AL105" i="3"/>
  <c r="AK105" i="3"/>
  <c r="AJ105" i="3"/>
  <c r="AI105" i="3"/>
  <c r="AD105" i="3"/>
  <c r="AC105" i="3"/>
  <c r="AB105" i="3"/>
  <c r="AA105" i="3"/>
  <c r="Z105" i="3"/>
  <c r="U105" i="3"/>
  <c r="T105" i="3"/>
  <c r="S105" i="3"/>
  <c r="R105" i="3"/>
  <c r="Q105" i="3"/>
  <c r="AM101" i="3"/>
  <c r="AL101" i="3"/>
  <c r="AK101" i="3"/>
  <c r="AJ101" i="3"/>
  <c r="AI101" i="3"/>
  <c r="AD101" i="3"/>
  <c r="AC101" i="3"/>
  <c r="AB101" i="3"/>
  <c r="AA101" i="3"/>
  <c r="Z101" i="3"/>
  <c r="U101" i="3"/>
  <c r="T101" i="3"/>
  <c r="S101" i="3"/>
  <c r="R101" i="3"/>
  <c r="Q101" i="3"/>
  <c r="AM96" i="3"/>
  <c r="AL96" i="3"/>
  <c r="AK96" i="3"/>
  <c r="AJ96" i="3"/>
  <c r="AI96" i="3"/>
  <c r="AD96" i="3"/>
  <c r="AC96" i="3"/>
  <c r="AB96" i="3"/>
  <c r="AA96" i="3"/>
  <c r="Z96" i="3"/>
  <c r="U96" i="3"/>
  <c r="T96" i="3"/>
  <c r="S96" i="3"/>
  <c r="R96" i="3"/>
  <c r="Q96" i="3"/>
  <c r="AK94" i="3"/>
  <c r="AJ94" i="3"/>
  <c r="AI94" i="3"/>
  <c r="AB94" i="3"/>
  <c r="AA94" i="3"/>
  <c r="Z94" i="3"/>
  <c r="S94" i="3"/>
  <c r="AM89" i="3"/>
  <c r="AL89" i="3"/>
  <c r="AK89" i="3"/>
  <c r="AJ89" i="3"/>
  <c r="AI89" i="3"/>
  <c r="AD89" i="3"/>
  <c r="AC89" i="3"/>
  <c r="AB89" i="3"/>
  <c r="AA89" i="3"/>
  <c r="Z89" i="3"/>
  <c r="U89" i="3"/>
  <c r="T89" i="3"/>
  <c r="S89" i="3"/>
  <c r="R89" i="3"/>
  <c r="Q89" i="3"/>
  <c r="AM86" i="3"/>
  <c r="AL86" i="3"/>
  <c r="AK86" i="3"/>
  <c r="AJ86" i="3"/>
  <c r="AI86" i="3"/>
  <c r="AD86" i="3"/>
  <c r="AC86" i="3"/>
  <c r="AB86" i="3"/>
  <c r="AA86" i="3"/>
  <c r="Z86" i="3"/>
  <c r="U86" i="3"/>
  <c r="T86" i="3"/>
  <c r="S86" i="3"/>
  <c r="R86" i="3"/>
  <c r="Q86" i="3"/>
  <c r="AM78" i="3"/>
  <c r="AM79" i="3"/>
  <c r="AL78" i="3"/>
  <c r="AL79" i="3" s="1"/>
  <c r="AK78" i="3"/>
  <c r="AK79" i="3"/>
  <c r="AJ78" i="3"/>
  <c r="AJ79" i="3" s="1"/>
  <c r="AI78" i="3"/>
  <c r="AI79" i="3"/>
  <c r="AD78" i="3"/>
  <c r="AD79" i="3" s="1"/>
  <c r="AC78" i="3"/>
  <c r="AC79" i="3"/>
  <c r="AB78" i="3"/>
  <c r="AB79" i="3" s="1"/>
  <c r="AA78" i="3"/>
  <c r="AA79" i="3"/>
  <c r="Z78" i="3"/>
  <c r="Z79" i="3" s="1"/>
  <c r="U78" i="3"/>
  <c r="U79" i="3"/>
  <c r="T78" i="3"/>
  <c r="T79" i="3" s="1"/>
  <c r="S78" i="3"/>
  <c r="S79" i="3"/>
  <c r="R78" i="3"/>
  <c r="R79" i="3" s="1"/>
  <c r="Q78" i="3"/>
  <c r="Q79" i="3"/>
  <c r="AM75" i="3"/>
  <c r="AL75" i="3"/>
  <c r="AK75" i="3"/>
  <c r="AJ75" i="3"/>
  <c r="AI75" i="3"/>
  <c r="AD75" i="3"/>
  <c r="AC75" i="3"/>
  <c r="AB75" i="3"/>
  <c r="AA75" i="3"/>
  <c r="Z75" i="3"/>
  <c r="U75" i="3"/>
  <c r="T75" i="3"/>
  <c r="S75" i="3"/>
  <c r="R75" i="3"/>
  <c r="Q75" i="3"/>
  <c r="AM69" i="3"/>
  <c r="AM70" i="3" s="1"/>
  <c r="AL69" i="3"/>
  <c r="AL70" i="3" s="1"/>
  <c r="AK69" i="3"/>
  <c r="AK70" i="3" s="1"/>
  <c r="AJ69" i="3"/>
  <c r="AJ70" i="3" s="1"/>
  <c r="AI69" i="3"/>
  <c r="AI70" i="3" s="1"/>
  <c r="AD69" i="3"/>
  <c r="AD70" i="3" s="1"/>
  <c r="AC69" i="3"/>
  <c r="AC70" i="3" s="1"/>
  <c r="AB69" i="3"/>
  <c r="AB70" i="3" s="1"/>
  <c r="AA69" i="3"/>
  <c r="AA70" i="3" s="1"/>
  <c r="Z69" i="3"/>
  <c r="Z70" i="3" s="1"/>
  <c r="U69" i="3"/>
  <c r="U70" i="3" s="1"/>
  <c r="T69" i="3"/>
  <c r="T70" i="3" s="1"/>
  <c r="S69" i="3"/>
  <c r="S70" i="3" s="1"/>
  <c r="R69" i="3"/>
  <c r="R70" i="3" s="1"/>
  <c r="Q69" i="3"/>
  <c r="Q70" i="3" s="1"/>
  <c r="AM64" i="3"/>
  <c r="AM65" i="3" s="1"/>
  <c r="AL64" i="3"/>
  <c r="AL65" i="3" s="1"/>
  <c r="AK64" i="3"/>
  <c r="AK65" i="3" s="1"/>
  <c r="AJ64" i="3"/>
  <c r="AJ65" i="3" s="1"/>
  <c r="AI64" i="3"/>
  <c r="AI65" i="3" s="1"/>
  <c r="AD64" i="3"/>
  <c r="AD65" i="3" s="1"/>
  <c r="AC64" i="3"/>
  <c r="AC65" i="3" s="1"/>
  <c r="AB64" i="3"/>
  <c r="AB65" i="3" s="1"/>
  <c r="AA64" i="3"/>
  <c r="AA65" i="3" s="1"/>
  <c r="Z64" i="3"/>
  <c r="Z65" i="3" s="1"/>
  <c r="U64" i="3"/>
  <c r="U65" i="3" s="1"/>
  <c r="T64" i="3"/>
  <c r="T65" i="3" s="1"/>
  <c r="S64" i="3"/>
  <c r="S65" i="3" s="1"/>
  <c r="R64" i="3"/>
  <c r="R65" i="3" s="1"/>
  <c r="Q64" i="3"/>
  <c r="Q65" i="3" s="1"/>
  <c r="AM59" i="3"/>
  <c r="AM60" i="3" s="1"/>
  <c r="AL59" i="3"/>
  <c r="AL60" i="3" s="1"/>
  <c r="AK59" i="3"/>
  <c r="AK60" i="3" s="1"/>
  <c r="AJ59" i="3"/>
  <c r="AJ60" i="3" s="1"/>
  <c r="AI59" i="3"/>
  <c r="AI60" i="3" s="1"/>
  <c r="AD59" i="3"/>
  <c r="AD60" i="3" s="1"/>
  <c r="AC59" i="3"/>
  <c r="AC60" i="3" s="1"/>
  <c r="AB59" i="3"/>
  <c r="AB60" i="3" s="1"/>
  <c r="AA59" i="3"/>
  <c r="AA60" i="3" s="1"/>
  <c r="Z59" i="3"/>
  <c r="Z60" i="3" s="1"/>
  <c r="U59" i="3"/>
  <c r="U60" i="3" s="1"/>
  <c r="T59" i="3"/>
  <c r="T60" i="3" s="1"/>
  <c r="S59" i="3"/>
  <c r="S60" i="3" s="1"/>
  <c r="R59" i="3"/>
  <c r="R60" i="3" s="1"/>
  <c r="Q59" i="3"/>
  <c r="Q60" i="3" s="1"/>
  <c r="AI56" i="3"/>
  <c r="Z56" i="3"/>
  <c r="Q56" i="3"/>
  <c r="AK48" i="3"/>
  <c r="AJ48" i="3"/>
  <c r="AI48" i="3"/>
  <c r="AA48" i="3"/>
  <c r="Z48" i="3"/>
  <c r="AJ45" i="3"/>
  <c r="AA45" i="3"/>
  <c r="Z45" i="3"/>
  <c r="S45" i="3"/>
  <c r="R45" i="3"/>
  <c r="Q45" i="3"/>
  <c r="AM40" i="3"/>
  <c r="AL40" i="3"/>
  <c r="AK40" i="3"/>
  <c r="AJ40" i="3"/>
  <c r="AI40" i="3"/>
  <c r="AD40" i="3"/>
  <c r="AC40" i="3"/>
  <c r="AB40" i="3"/>
  <c r="AA40" i="3"/>
  <c r="Z40" i="3"/>
  <c r="U40" i="3"/>
  <c r="T40" i="3"/>
  <c r="S40" i="3"/>
  <c r="R40" i="3"/>
  <c r="Q40" i="3"/>
  <c r="AM32" i="3"/>
  <c r="AL32" i="3"/>
  <c r="AK32" i="3"/>
  <c r="AJ32" i="3"/>
  <c r="AI32" i="3"/>
  <c r="AD32" i="3"/>
  <c r="AC32" i="3"/>
  <c r="AB32" i="3"/>
  <c r="AA32" i="3"/>
  <c r="Z32" i="3"/>
  <c r="U32" i="3"/>
  <c r="T32" i="3"/>
  <c r="S32" i="3"/>
  <c r="R32" i="3"/>
  <c r="Q32" i="3"/>
  <c r="AM30" i="3"/>
  <c r="AL30" i="3"/>
  <c r="AK30" i="3"/>
  <c r="AJ30" i="3"/>
  <c r="AI30" i="3"/>
  <c r="AD30" i="3"/>
  <c r="AC30" i="3"/>
  <c r="AB30" i="3"/>
  <c r="AA30" i="3"/>
  <c r="Z30" i="3"/>
  <c r="U30" i="3"/>
  <c r="T30" i="3"/>
  <c r="S30" i="3"/>
  <c r="R30" i="3"/>
  <c r="Q30" i="3"/>
  <c r="AM28" i="3"/>
  <c r="AL28" i="3"/>
  <c r="AK28" i="3"/>
  <c r="AJ28" i="3"/>
  <c r="AI28" i="3"/>
  <c r="AD28" i="3"/>
  <c r="AC28" i="3"/>
  <c r="AB28" i="3"/>
  <c r="AA28" i="3"/>
  <c r="Z28" i="3"/>
  <c r="U28" i="3"/>
  <c r="T28" i="3"/>
  <c r="S28" i="3"/>
  <c r="R28" i="3"/>
  <c r="Q28" i="3"/>
  <c r="AM26" i="3"/>
  <c r="AL26" i="3"/>
  <c r="AK26" i="3"/>
  <c r="AJ26" i="3"/>
  <c r="AI26" i="3"/>
  <c r="AD26" i="3"/>
  <c r="AC26" i="3"/>
  <c r="AB26" i="3"/>
  <c r="AA26" i="3"/>
  <c r="Z26" i="3"/>
  <c r="U26" i="3"/>
  <c r="T26" i="3"/>
  <c r="S26" i="3"/>
  <c r="R26" i="3"/>
  <c r="Q26" i="3"/>
  <c r="AM19" i="3"/>
  <c r="AL19" i="3"/>
  <c r="AK19" i="3"/>
  <c r="AJ19" i="3"/>
  <c r="AI19" i="3"/>
  <c r="AD19" i="3"/>
  <c r="AC19" i="3"/>
  <c r="AB19" i="3"/>
  <c r="AA19" i="3"/>
  <c r="Z19" i="3"/>
  <c r="U19" i="3"/>
  <c r="T19" i="3"/>
  <c r="S19" i="3"/>
  <c r="R19" i="3"/>
  <c r="Q19" i="3"/>
  <c r="AM15" i="3"/>
  <c r="AM16" i="3" s="1"/>
  <c r="AL15" i="3"/>
  <c r="AL16" i="3" s="1"/>
  <c r="AK15" i="3"/>
  <c r="AK16" i="3" s="1"/>
  <c r="AJ15" i="3"/>
  <c r="AJ16" i="3" s="1"/>
  <c r="AI15" i="3"/>
  <c r="AI16" i="3"/>
  <c r="AD15" i="3"/>
  <c r="AD16" i="3" s="1"/>
  <c r="AC15" i="3"/>
  <c r="AC16" i="3"/>
  <c r="AB15" i="3"/>
  <c r="AB16" i="3" s="1"/>
  <c r="AA15" i="3"/>
  <c r="AA16" i="3" s="1"/>
  <c r="Z15" i="3"/>
  <c r="Z16" i="3" s="1"/>
  <c r="U15" i="3"/>
  <c r="U16" i="3" s="1"/>
  <c r="T15" i="3"/>
  <c r="T16" i="3" s="1"/>
  <c r="S15" i="3"/>
  <c r="S16" i="3"/>
  <c r="R15" i="3"/>
  <c r="R16" i="3" s="1"/>
  <c r="Q15" i="3"/>
  <c r="Q16" i="3"/>
  <c r="AM13" i="3"/>
  <c r="AL13" i="3"/>
  <c r="AK13" i="3"/>
  <c r="AJ13" i="3"/>
  <c r="AI13" i="3"/>
  <c r="AD13" i="3"/>
  <c r="AC13" i="3"/>
  <c r="AB13" i="3"/>
  <c r="AA13" i="3"/>
  <c r="Z13" i="3"/>
  <c r="U13" i="3"/>
  <c r="T13" i="3"/>
  <c r="S13" i="3"/>
  <c r="R13" i="3"/>
  <c r="Q13" i="3"/>
  <c r="AM11" i="3"/>
  <c r="AL11" i="3"/>
  <c r="AK11" i="3"/>
  <c r="AJ11" i="3"/>
  <c r="AI11" i="3"/>
  <c r="AD11" i="3"/>
  <c r="AC11" i="3"/>
  <c r="AB11" i="3"/>
  <c r="AA11" i="3"/>
  <c r="Z11" i="3"/>
  <c r="U11" i="3"/>
  <c r="T11" i="3"/>
  <c r="S11" i="3"/>
  <c r="R11" i="3"/>
  <c r="Q11" i="3"/>
  <c r="AM9" i="3"/>
  <c r="AL9" i="3"/>
  <c r="AK9" i="3"/>
  <c r="AJ9" i="3"/>
  <c r="AI9" i="3"/>
  <c r="AD9" i="3"/>
  <c r="AC9" i="3"/>
  <c r="AB9" i="3"/>
  <c r="AA9" i="3"/>
  <c r="Z9" i="3"/>
  <c r="R9" i="3"/>
  <c r="S9" i="3"/>
  <c r="T9" i="3"/>
  <c r="U9" i="3"/>
  <c r="Q9" i="3"/>
  <c r="E116" i="3"/>
  <c r="E112" i="3"/>
  <c r="E109" i="3"/>
  <c r="E107" i="3"/>
  <c r="E105" i="3"/>
  <c r="E103" i="3"/>
  <c r="E101" i="3"/>
  <c r="E98" i="3"/>
  <c r="E96" i="3"/>
  <c r="E93" i="3"/>
  <c r="E94" i="3"/>
  <c r="E91" i="3"/>
  <c r="E89" i="3"/>
  <c r="E86" i="3"/>
  <c r="E78" i="3"/>
  <c r="E79" i="3" s="1"/>
  <c r="E75" i="3"/>
  <c r="E73" i="3"/>
  <c r="E69" i="3"/>
  <c r="E70" i="3" s="1"/>
  <c r="E67" i="3"/>
  <c r="E64" i="3"/>
  <c r="E65" i="3" s="1"/>
  <c r="E59" i="3"/>
  <c r="E60" i="3" s="1"/>
  <c r="E56" i="3"/>
  <c r="E57" i="3" s="1"/>
  <c r="E54" i="3"/>
  <c r="E51" i="3"/>
  <c r="E47" i="3"/>
  <c r="E48" i="3" s="1"/>
  <c r="E44" i="3"/>
  <c r="E45" i="3"/>
  <c r="E40" i="3"/>
  <c r="E37" i="3"/>
  <c r="E32" i="3"/>
  <c r="E30" i="3"/>
  <c r="E28" i="3"/>
  <c r="E26" i="3"/>
  <c r="E21" i="3"/>
  <c r="E19" i="3"/>
  <c r="E15" i="3"/>
  <c r="E16" i="3" s="1"/>
  <c r="E13" i="3"/>
  <c r="E11" i="3"/>
  <c r="E9" i="3"/>
  <c r="AB284" i="3"/>
  <c r="AC284" i="3"/>
  <c r="AD284" i="3"/>
  <c r="AE284" i="3"/>
  <c r="AF284" i="3"/>
  <c r="AG284" i="3"/>
  <c r="AH284" i="3"/>
  <c r="AI284" i="3"/>
  <c r="AJ284" i="3"/>
  <c r="AK284" i="3"/>
  <c r="AL284" i="3"/>
  <c r="AM284" i="3"/>
  <c r="AN284" i="3"/>
  <c r="AO284" i="3"/>
  <c r="AP284" i="3"/>
  <c r="AQ284" i="3"/>
  <c r="AB285" i="3"/>
  <c r="AC285" i="3"/>
  <c r="AD285" i="3"/>
  <c r="AE285" i="3"/>
  <c r="AF285" i="3"/>
  <c r="AG285" i="3"/>
  <c r="AH285" i="3"/>
  <c r="AI285" i="3"/>
  <c r="AJ285" i="3"/>
  <c r="AK285" i="3"/>
  <c r="AL285" i="3"/>
  <c r="AM285" i="3"/>
  <c r="AN285" i="3"/>
  <c r="AO285" i="3"/>
  <c r="AP285" i="3"/>
  <c r="AQ285" i="3"/>
  <c r="AB286" i="3"/>
  <c r="AC286" i="3"/>
  <c r="AD286" i="3"/>
  <c r="AE286" i="3"/>
  <c r="AF286" i="3"/>
  <c r="AG286" i="3"/>
  <c r="AH286" i="3"/>
  <c r="AI286" i="3"/>
  <c r="AJ286" i="3"/>
  <c r="AK286" i="3"/>
  <c r="AL286" i="3"/>
  <c r="AM286" i="3"/>
  <c r="AN286" i="3"/>
  <c r="AO286" i="3"/>
  <c r="AP286" i="3"/>
  <c r="AQ286" i="3"/>
  <c r="AB287" i="3"/>
  <c r="AC287" i="3"/>
  <c r="AD287" i="3"/>
  <c r="AE287" i="3"/>
  <c r="AF287" i="3"/>
  <c r="AG287" i="3"/>
  <c r="AH287" i="3"/>
  <c r="AI287" i="3"/>
  <c r="AJ287" i="3"/>
  <c r="AK287" i="3"/>
  <c r="AL287" i="3"/>
  <c r="AM287" i="3"/>
  <c r="AN287" i="3"/>
  <c r="AO287" i="3"/>
  <c r="AP287" i="3"/>
  <c r="AQ287" i="3"/>
  <c r="AB288" i="3"/>
  <c r="AC288" i="3"/>
  <c r="AD288" i="3"/>
  <c r="AE288" i="3"/>
  <c r="AF288" i="3"/>
  <c r="AG288" i="3"/>
  <c r="AH288" i="3"/>
  <c r="AI288" i="3"/>
  <c r="AJ288" i="3"/>
  <c r="AK288" i="3"/>
  <c r="AL288" i="3"/>
  <c r="AM288" i="3"/>
  <c r="AN288" i="3"/>
  <c r="AO288" i="3"/>
  <c r="AP288" i="3"/>
  <c r="AQ288" i="3"/>
  <c r="AB289" i="3"/>
  <c r="AC289" i="3"/>
  <c r="AD289" i="3"/>
  <c r="AE289" i="3"/>
  <c r="AF289" i="3"/>
  <c r="AG289" i="3"/>
  <c r="AH289" i="3"/>
  <c r="AI289" i="3"/>
  <c r="AJ289" i="3"/>
  <c r="AK289" i="3"/>
  <c r="AL289" i="3"/>
  <c r="AM289" i="3"/>
  <c r="AN289" i="3"/>
  <c r="AO289" i="3"/>
  <c r="AP289" i="3"/>
  <c r="AQ289" i="3"/>
  <c r="AB290" i="3"/>
  <c r="AC290" i="3"/>
  <c r="AD290" i="3"/>
  <c r="AE290" i="3"/>
  <c r="AF290" i="3"/>
  <c r="AG290" i="3"/>
  <c r="AH290" i="3"/>
  <c r="AI290" i="3"/>
  <c r="AJ290" i="3"/>
  <c r="AK290" i="3"/>
  <c r="AL290" i="3"/>
  <c r="AM290" i="3"/>
  <c r="AN290" i="3"/>
  <c r="AO290" i="3"/>
  <c r="AP290" i="3"/>
  <c r="AQ290" i="3"/>
  <c r="AB291" i="3"/>
  <c r="AC291" i="3"/>
  <c r="AD291" i="3"/>
  <c r="AE291" i="3"/>
  <c r="AF291" i="3"/>
  <c r="AG291" i="3"/>
  <c r="AH291" i="3"/>
  <c r="AI291" i="3"/>
  <c r="AJ291" i="3"/>
  <c r="AK291" i="3"/>
  <c r="AL291" i="3"/>
  <c r="AM291" i="3"/>
  <c r="AN291" i="3"/>
  <c r="AO291" i="3"/>
  <c r="AP291" i="3"/>
  <c r="AQ291" i="3"/>
  <c r="AB292" i="3"/>
  <c r="AC292" i="3"/>
  <c r="AD292" i="3"/>
  <c r="AE292" i="3"/>
  <c r="AF292" i="3"/>
  <c r="AG292" i="3"/>
  <c r="AH292" i="3"/>
  <c r="AI292" i="3"/>
  <c r="AJ292" i="3"/>
  <c r="AK292" i="3"/>
  <c r="AL292" i="3"/>
  <c r="AM292" i="3"/>
  <c r="AN292" i="3"/>
  <c r="AO292" i="3"/>
  <c r="AP292" i="3"/>
  <c r="AQ292" i="3"/>
  <c r="AB293" i="3"/>
  <c r="AC293" i="3"/>
  <c r="AD293" i="3"/>
  <c r="AE293" i="3"/>
  <c r="AF293" i="3"/>
  <c r="AG293" i="3"/>
  <c r="AH293" i="3"/>
  <c r="AI293" i="3"/>
  <c r="AJ293" i="3"/>
  <c r="AK293" i="3"/>
  <c r="AL293" i="3"/>
  <c r="AM293" i="3"/>
  <c r="AN293" i="3"/>
  <c r="AO293" i="3"/>
  <c r="AP293" i="3"/>
  <c r="AQ293" i="3"/>
  <c r="AB294" i="3"/>
  <c r="AC294" i="3"/>
  <c r="AD294" i="3"/>
  <c r="AE294" i="3"/>
  <c r="AF294" i="3"/>
  <c r="AG294" i="3"/>
  <c r="AH294" i="3"/>
  <c r="AI294" i="3"/>
  <c r="AJ294" i="3"/>
  <c r="AK294" i="3"/>
  <c r="AL294" i="3"/>
  <c r="AM294" i="3"/>
  <c r="AN294" i="3"/>
  <c r="AO294" i="3"/>
  <c r="AP294" i="3"/>
  <c r="AQ294" i="3"/>
  <c r="AB295" i="3"/>
  <c r="AC295" i="3"/>
  <c r="AD295" i="3"/>
  <c r="AE295" i="3"/>
  <c r="AF295" i="3"/>
  <c r="AG295" i="3"/>
  <c r="AH295" i="3"/>
  <c r="AI295" i="3"/>
  <c r="AJ295" i="3"/>
  <c r="AK295" i="3"/>
  <c r="AL295" i="3"/>
  <c r="AM295" i="3"/>
  <c r="AN295" i="3"/>
  <c r="AO295" i="3"/>
  <c r="AP295" i="3"/>
  <c r="AQ295" i="3"/>
  <c r="AB296" i="3"/>
  <c r="AC296" i="3"/>
  <c r="AD296" i="3"/>
  <c r="AE296" i="3"/>
  <c r="AF296" i="3"/>
  <c r="AG296" i="3"/>
  <c r="AH296" i="3"/>
  <c r="AI296" i="3"/>
  <c r="AJ296" i="3"/>
  <c r="AK296" i="3"/>
  <c r="AL296" i="3"/>
  <c r="AM296" i="3"/>
  <c r="AN296" i="3"/>
  <c r="AO296" i="3"/>
  <c r="AP296" i="3"/>
  <c r="AQ296" i="3"/>
  <c r="AB297" i="3"/>
  <c r="AC297" i="3"/>
  <c r="AD297" i="3"/>
  <c r="AE297" i="3"/>
  <c r="AF297" i="3"/>
  <c r="AG297" i="3"/>
  <c r="AH297" i="3"/>
  <c r="AI297" i="3"/>
  <c r="AJ297" i="3"/>
  <c r="AK297" i="3"/>
  <c r="AL297" i="3"/>
  <c r="AM297" i="3"/>
  <c r="AN297" i="3"/>
  <c r="AO297" i="3"/>
  <c r="AP297" i="3"/>
  <c r="AQ297" i="3"/>
  <c r="AB298" i="3"/>
  <c r="AC298" i="3"/>
  <c r="AD298" i="3"/>
  <c r="AE298" i="3"/>
  <c r="AF298" i="3"/>
  <c r="AG298" i="3"/>
  <c r="AH298" i="3"/>
  <c r="AI298" i="3"/>
  <c r="AJ298" i="3"/>
  <c r="AK298" i="3"/>
  <c r="AL298" i="3"/>
  <c r="AM298" i="3"/>
  <c r="AN298" i="3"/>
  <c r="AO298" i="3"/>
  <c r="AP298" i="3"/>
  <c r="AQ298" i="3"/>
  <c r="AB299" i="3"/>
  <c r="AC299" i="3"/>
  <c r="AD299" i="3"/>
  <c r="AE299" i="3"/>
  <c r="AF299" i="3"/>
  <c r="AG299" i="3"/>
  <c r="AH299" i="3"/>
  <c r="AI299" i="3"/>
  <c r="AJ299" i="3"/>
  <c r="AK299" i="3"/>
  <c r="AL299" i="3"/>
  <c r="AM299" i="3"/>
  <c r="AN299" i="3"/>
  <c r="AO299" i="3"/>
  <c r="AP299" i="3"/>
  <c r="AQ299" i="3"/>
  <c r="AB300" i="3"/>
  <c r="AC300" i="3"/>
  <c r="AD300" i="3"/>
  <c r="AE300" i="3"/>
  <c r="AF300" i="3"/>
  <c r="AG300" i="3"/>
  <c r="AH300" i="3"/>
  <c r="AI300" i="3"/>
  <c r="AJ300" i="3"/>
  <c r="AK300" i="3"/>
  <c r="AL300" i="3"/>
  <c r="AM300" i="3"/>
  <c r="AN300" i="3"/>
  <c r="AO300" i="3"/>
  <c r="AP300" i="3"/>
  <c r="AQ300" i="3"/>
  <c r="AB301" i="3"/>
  <c r="AC301" i="3"/>
  <c r="AD301" i="3"/>
  <c r="AE301" i="3"/>
  <c r="AF301" i="3"/>
  <c r="AG301" i="3"/>
  <c r="AH301" i="3"/>
  <c r="AI301" i="3"/>
  <c r="AJ301" i="3"/>
  <c r="AK301" i="3"/>
  <c r="AL301" i="3"/>
  <c r="AM301" i="3"/>
  <c r="AN301" i="3"/>
  <c r="AO301" i="3"/>
  <c r="AP301" i="3"/>
  <c r="AQ301" i="3"/>
  <c r="AB302" i="3"/>
  <c r="AC302" i="3"/>
  <c r="AD302" i="3"/>
  <c r="AE302" i="3"/>
  <c r="AF302" i="3"/>
  <c r="AG302" i="3"/>
  <c r="AH302" i="3"/>
  <c r="AI302" i="3"/>
  <c r="AJ302" i="3"/>
  <c r="AK302" i="3"/>
  <c r="AL302" i="3"/>
  <c r="AM302" i="3"/>
  <c r="AN302" i="3"/>
  <c r="AO302" i="3"/>
  <c r="AP302" i="3"/>
  <c r="AQ302" i="3"/>
  <c r="N284" i="3"/>
  <c r="O284" i="3"/>
  <c r="P284" i="3"/>
  <c r="Q284" i="3"/>
  <c r="R284" i="3"/>
  <c r="S284" i="3"/>
  <c r="T284" i="3"/>
  <c r="U284" i="3"/>
  <c r="V284" i="3"/>
  <c r="W284" i="3"/>
  <c r="X284" i="3"/>
  <c r="Y284" i="3"/>
  <c r="Z284" i="3"/>
  <c r="AA284" i="3"/>
  <c r="N285" i="3"/>
  <c r="O285" i="3"/>
  <c r="P285" i="3"/>
  <c r="Q285" i="3"/>
  <c r="R285" i="3"/>
  <c r="S285" i="3"/>
  <c r="T285" i="3"/>
  <c r="U285" i="3"/>
  <c r="V285" i="3"/>
  <c r="W285" i="3"/>
  <c r="X285" i="3"/>
  <c r="Y285" i="3"/>
  <c r="Z285" i="3"/>
  <c r="AA285" i="3"/>
  <c r="N286" i="3"/>
  <c r="O286" i="3"/>
  <c r="P286" i="3"/>
  <c r="Q286" i="3"/>
  <c r="R286" i="3"/>
  <c r="S286" i="3"/>
  <c r="T286" i="3"/>
  <c r="U286" i="3"/>
  <c r="V286" i="3"/>
  <c r="W286" i="3"/>
  <c r="X286" i="3"/>
  <c r="Y286" i="3"/>
  <c r="Z286" i="3"/>
  <c r="AA286" i="3"/>
  <c r="N287" i="3"/>
  <c r="O287" i="3"/>
  <c r="P287" i="3"/>
  <c r="Q287" i="3"/>
  <c r="R287" i="3"/>
  <c r="S287" i="3"/>
  <c r="T287" i="3"/>
  <c r="U287" i="3"/>
  <c r="V287" i="3"/>
  <c r="W287" i="3"/>
  <c r="X287" i="3"/>
  <c r="Y287" i="3"/>
  <c r="Z287" i="3"/>
  <c r="AA287" i="3"/>
  <c r="N288" i="3"/>
  <c r="O288" i="3"/>
  <c r="P288" i="3"/>
  <c r="Q288" i="3"/>
  <c r="R288" i="3"/>
  <c r="S288" i="3"/>
  <c r="T288" i="3"/>
  <c r="U288" i="3"/>
  <c r="V288" i="3"/>
  <c r="W288" i="3"/>
  <c r="X288" i="3"/>
  <c r="Y288" i="3"/>
  <c r="Z288" i="3"/>
  <c r="AA288" i="3"/>
  <c r="N289" i="3"/>
  <c r="O289" i="3"/>
  <c r="P289" i="3"/>
  <c r="Q289" i="3"/>
  <c r="R289" i="3"/>
  <c r="S289" i="3"/>
  <c r="T289" i="3"/>
  <c r="U289" i="3"/>
  <c r="V289" i="3"/>
  <c r="W289" i="3"/>
  <c r="X289" i="3"/>
  <c r="Y289" i="3"/>
  <c r="Z289" i="3"/>
  <c r="AA289" i="3"/>
  <c r="N290" i="3"/>
  <c r="O290" i="3"/>
  <c r="P290" i="3"/>
  <c r="Q290" i="3"/>
  <c r="R290" i="3"/>
  <c r="S290" i="3"/>
  <c r="T290" i="3"/>
  <c r="U290" i="3"/>
  <c r="V290" i="3"/>
  <c r="W290" i="3"/>
  <c r="X290" i="3"/>
  <c r="Y290" i="3"/>
  <c r="Z290" i="3"/>
  <c r="AA290" i="3"/>
  <c r="N291" i="3"/>
  <c r="O291" i="3"/>
  <c r="P291" i="3"/>
  <c r="Q291" i="3"/>
  <c r="R291" i="3"/>
  <c r="S291" i="3"/>
  <c r="T291" i="3"/>
  <c r="U291" i="3"/>
  <c r="V291" i="3"/>
  <c r="W291" i="3"/>
  <c r="X291" i="3"/>
  <c r="Y291" i="3"/>
  <c r="Z291" i="3"/>
  <c r="AA291" i="3"/>
  <c r="N292" i="3"/>
  <c r="O292" i="3"/>
  <c r="P292" i="3"/>
  <c r="Q292" i="3"/>
  <c r="R292" i="3"/>
  <c r="S292" i="3"/>
  <c r="T292" i="3"/>
  <c r="U292" i="3"/>
  <c r="V292" i="3"/>
  <c r="W292" i="3"/>
  <c r="X292" i="3"/>
  <c r="Y292" i="3"/>
  <c r="Z292" i="3"/>
  <c r="AA292" i="3"/>
  <c r="N293" i="3"/>
  <c r="O293" i="3"/>
  <c r="P293" i="3"/>
  <c r="Q293" i="3"/>
  <c r="R293" i="3"/>
  <c r="S293" i="3"/>
  <c r="T293" i="3"/>
  <c r="U293" i="3"/>
  <c r="V293" i="3"/>
  <c r="W293" i="3"/>
  <c r="X293" i="3"/>
  <c r="Y293" i="3"/>
  <c r="Z293" i="3"/>
  <c r="AA293" i="3"/>
  <c r="N294" i="3"/>
  <c r="O294" i="3"/>
  <c r="P294" i="3"/>
  <c r="Q294" i="3"/>
  <c r="R294" i="3"/>
  <c r="S294" i="3"/>
  <c r="T294" i="3"/>
  <c r="U294" i="3"/>
  <c r="V294" i="3"/>
  <c r="W294" i="3"/>
  <c r="X294" i="3"/>
  <c r="Y294" i="3"/>
  <c r="Z294" i="3"/>
  <c r="AA294" i="3"/>
  <c r="N295" i="3"/>
  <c r="O295" i="3"/>
  <c r="P295" i="3"/>
  <c r="Q295" i="3"/>
  <c r="R295" i="3"/>
  <c r="S295" i="3"/>
  <c r="T295" i="3"/>
  <c r="U295" i="3"/>
  <c r="V295" i="3"/>
  <c r="W295" i="3"/>
  <c r="X295" i="3"/>
  <c r="Y295" i="3"/>
  <c r="Z295" i="3"/>
  <c r="AA295" i="3"/>
  <c r="N296" i="3"/>
  <c r="O296" i="3"/>
  <c r="P296" i="3"/>
  <c r="Q296" i="3"/>
  <c r="R296" i="3"/>
  <c r="S296" i="3"/>
  <c r="T296" i="3"/>
  <c r="U296" i="3"/>
  <c r="V296" i="3"/>
  <c r="W296" i="3"/>
  <c r="X296" i="3"/>
  <c r="Y296" i="3"/>
  <c r="Z296" i="3"/>
  <c r="AA296" i="3"/>
  <c r="N297" i="3"/>
  <c r="O297" i="3"/>
  <c r="P297" i="3"/>
  <c r="Q297" i="3"/>
  <c r="R297" i="3"/>
  <c r="S297" i="3"/>
  <c r="T297" i="3"/>
  <c r="U297" i="3"/>
  <c r="V297" i="3"/>
  <c r="W297" i="3"/>
  <c r="X297" i="3"/>
  <c r="Y297" i="3"/>
  <c r="Z297" i="3"/>
  <c r="AA297" i="3"/>
  <c r="N298" i="3"/>
  <c r="O298" i="3"/>
  <c r="P298" i="3"/>
  <c r="Q298" i="3"/>
  <c r="R298" i="3"/>
  <c r="S298" i="3"/>
  <c r="T298" i="3"/>
  <c r="U298" i="3"/>
  <c r="V298" i="3"/>
  <c r="W298" i="3"/>
  <c r="X298" i="3"/>
  <c r="Y298" i="3"/>
  <c r="Z298" i="3"/>
  <c r="AA298" i="3"/>
  <c r="N299" i="3"/>
  <c r="O299" i="3"/>
  <c r="P299" i="3"/>
  <c r="Q299" i="3"/>
  <c r="R299" i="3"/>
  <c r="S299" i="3"/>
  <c r="T299" i="3"/>
  <c r="U299" i="3"/>
  <c r="V299" i="3"/>
  <c r="W299" i="3"/>
  <c r="X299" i="3"/>
  <c r="Y299" i="3"/>
  <c r="Z299" i="3"/>
  <c r="AA299" i="3"/>
  <c r="N300" i="3"/>
  <c r="O300" i="3"/>
  <c r="P300" i="3"/>
  <c r="Q300" i="3"/>
  <c r="R300" i="3"/>
  <c r="S300" i="3"/>
  <c r="T300" i="3"/>
  <c r="U300" i="3"/>
  <c r="V300" i="3"/>
  <c r="W300" i="3"/>
  <c r="X300" i="3"/>
  <c r="Y300" i="3"/>
  <c r="Z300" i="3"/>
  <c r="AA300" i="3"/>
  <c r="N301" i="3"/>
  <c r="O301" i="3"/>
  <c r="P301" i="3"/>
  <c r="Q301" i="3"/>
  <c r="R301" i="3"/>
  <c r="S301" i="3"/>
  <c r="T301" i="3"/>
  <c r="U301" i="3"/>
  <c r="V301" i="3"/>
  <c r="W301" i="3"/>
  <c r="X301" i="3"/>
  <c r="Y301" i="3"/>
  <c r="Z301" i="3"/>
  <c r="AA301" i="3"/>
  <c r="N302" i="3"/>
  <c r="O302" i="3"/>
  <c r="P302" i="3"/>
  <c r="Q302" i="3"/>
  <c r="R302" i="3"/>
  <c r="S302" i="3"/>
  <c r="T302" i="3"/>
  <c r="U302" i="3"/>
  <c r="V302" i="3"/>
  <c r="W302" i="3"/>
  <c r="X302" i="3"/>
  <c r="Y302" i="3"/>
  <c r="Z302" i="3"/>
  <c r="AA302" i="3"/>
  <c r="M285" i="3"/>
  <c r="M286" i="3"/>
  <c r="M287" i="3"/>
  <c r="M288" i="3"/>
  <c r="M289" i="3"/>
  <c r="M290" i="3"/>
  <c r="M291" i="3"/>
  <c r="M292" i="3"/>
  <c r="M293" i="3"/>
  <c r="M294" i="3"/>
  <c r="M295" i="3"/>
  <c r="M296" i="3"/>
  <c r="M297" i="3"/>
  <c r="M298" i="3"/>
  <c r="M299" i="3"/>
  <c r="M300" i="3"/>
  <c r="M301" i="3"/>
  <c r="M302" i="3"/>
  <c r="M284" i="3"/>
  <c r="E285" i="3"/>
  <c r="E286" i="3"/>
  <c r="E287" i="3"/>
  <c r="E288" i="3"/>
  <c r="E289" i="3"/>
  <c r="E290" i="3"/>
  <c r="E291" i="3"/>
  <c r="E292" i="3"/>
  <c r="E293" i="3"/>
  <c r="E294" i="3"/>
  <c r="E295" i="3"/>
  <c r="E296" i="3"/>
  <c r="E297" i="3"/>
  <c r="E298" i="3"/>
  <c r="E299" i="3"/>
  <c r="E300" i="3"/>
  <c r="E301" i="3"/>
  <c r="E302" i="3"/>
  <c r="E284" i="3"/>
  <c r="E257" i="3"/>
  <c r="E258" i="3" s="1"/>
  <c r="E255" i="3"/>
  <c r="E249" i="3"/>
  <c r="E247" i="3"/>
  <c r="E242" i="3"/>
  <c r="E243" i="3" s="1"/>
  <c r="E193" i="3"/>
  <c r="E189" i="3"/>
  <c r="E186" i="3"/>
  <c r="E167" i="3"/>
  <c r="E130" i="3"/>
  <c r="J258" i="3"/>
  <c r="J257" i="3"/>
  <c r="J255" i="3"/>
  <c r="J249" i="3"/>
  <c r="J247" i="3"/>
  <c r="J243" i="3"/>
  <c r="J242" i="3"/>
  <c r="J193" i="3"/>
  <c r="J189" i="3"/>
  <c r="J186" i="3"/>
  <c r="J167" i="3"/>
  <c r="J130" i="3"/>
  <c r="J116" i="3"/>
  <c r="J112" i="3"/>
  <c r="J109" i="3"/>
  <c r="J107" i="3"/>
  <c r="J105" i="3"/>
  <c r="J103" i="3"/>
  <c r="J101" i="3"/>
  <c r="J98" i="3"/>
  <c r="J96" i="3"/>
  <c r="J94" i="3"/>
  <c r="J93" i="3"/>
  <c r="J91" i="3"/>
  <c r="J89" i="3"/>
  <c r="J86" i="3"/>
  <c r="J79" i="3"/>
  <c r="J78" i="3"/>
  <c r="J75" i="3"/>
  <c r="J73" i="3"/>
  <c r="J70" i="3"/>
  <c r="J69" i="3"/>
  <c r="J67" i="3"/>
  <c r="J65" i="3"/>
  <c r="J64" i="3"/>
  <c r="J60" i="3"/>
  <c r="J59" i="3"/>
  <c r="J57" i="3"/>
  <c r="J56" i="3"/>
  <c r="J54" i="3"/>
  <c r="J51" i="3"/>
  <c r="J48" i="3"/>
  <c r="J47" i="3"/>
  <c r="J45" i="3"/>
  <c r="J44" i="3"/>
  <c r="J40" i="3"/>
  <c r="J37" i="3"/>
  <c r="J32" i="3"/>
  <c r="J30" i="3"/>
  <c r="J28" i="3"/>
  <c r="J26" i="3"/>
  <c r="J21" i="3"/>
  <c r="J19" i="3"/>
  <c r="J16" i="3"/>
  <c r="J15" i="3"/>
  <c r="J13" i="3"/>
  <c r="J11" i="3"/>
  <c r="J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smiranda</author>
  </authors>
  <commentList>
    <comment ref="F1" authorId="0" shapeId="0" xr:uid="{00000000-0006-0000-0200-000001000000}">
      <text>
        <r>
          <rPr>
            <b/>
            <sz val="10"/>
            <color indexed="81"/>
            <rFont val="Calibri"/>
          </rPr>
          <t>Microsoft Office User:</t>
        </r>
        <r>
          <rPr>
            <sz val="10"/>
            <color indexed="81"/>
            <rFont val="Calibri"/>
          </rPr>
          <t xml:space="preserve">
For dates prior to 1994 information on date and type of meeting is taken from the Fed Board website
If no record of the date is found then both isFOMC and isUNSCHEDULED are set to 0
if a record of the date is found and it coincides with a conference call then both isFOMC and isUNSCHEDULED are set to 1</t>
        </r>
      </text>
    </comment>
    <comment ref="D2" authorId="0" shapeId="0" xr:uid="{00000000-0006-0000-0200-000002000000}">
      <text>
        <r>
          <rPr>
            <b/>
            <sz val="10"/>
            <color indexed="81"/>
            <rFont val="Calibri"/>
          </rPr>
          <t>Microsoft Office User:</t>
        </r>
        <r>
          <rPr>
            <sz val="10"/>
            <color indexed="81"/>
            <rFont val="Calibri"/>
          </rPr>
          <t xml:space="preserve">
This is when the HF surprises data files starts Before 1994 the surprise is registered at the next day Open Market Operation</t>
        </r>
      </text>
    </comment>
    <comment ref="K2" authorId="0" shapeId="0" xr:uid="{00000000-0006-0000-0200-000003000000}">
      <text>
        <r>
          <rPr>
            <b/>
            <sz val="10"/>
            <color indexed="81"/>
            <rFont val="Calibri"/>
          </rPr>
          <t>Microsoft Office User:</t>
        </r>
        <r>
          <rPr>
            <sz val="10"/>
            <color indexed="81"/>
            <rFont val="Calibri"/>
          </rPr>
          <t xml:space="preserve">
Original Romer and Romer (2004)</t>
        </r>
      </text>
    </comment>
    <comment ref="D128" authorId="0" shapeId="0" xr:uid="{00000000-0006-0000-0200-000004000000}">
      <text>
        <r>
          <rPr>
            <b/>
            <sz val="10"/>
            <color indexed="81"/>
            <rFont val="Calibri"/>
          </rPr>
          <t>Microsoft Office User:</t>
        </r>
        <r>
          <rPr>
            <sz val="10"/>
            <color indexed="81"/>
            <rFont val="Calibri"/>
          </rPr>
          <t xml:space="preserve">
Prior to this date the surprise is measured on the OMO on the day following the FOMC meeting 
Dates for FOMC meetings prior to this date are from Romer and Romer (2004)
Information on type of meeting is from the Fed Board website</t>
        </r>
      </text>
    </comment>
    <comment ref="D153" authorId="0" shapeId="0" xr:uid="{00000000-0006-0000-0200-000005000000}">
      <text>
        <r>
          <rPr>
            <b/>
            <sz val="10"/>
            <color indexed="81"/>
            <rFont val="Calibri"/>
          </rPr>
          <t>Microsoft Office User:</t>
        </r>
        <r>
          <rPr>
            <sz val="10"/>
            <color indexed="81"/>
            <rFont val="Calibri"/>
          </rPr>
          <t xml:space="preserve">
Silvia's update of RR04  Greenbook sheet from here onward</t>
        </r>
      </text>
    </comment>
    <comment ref="K153" authorId="1" shapeId="0" xr:uid="{00000000-0006-0000-0200-000006000000}">
      <text>
        <r>
          <rPr>
            <b/>
            <sz val="9"/>
            <color indexed="81"/>
            <rFont val="Calibri"/>
            <family val="2"/>
          </rPr>
          <t>smiranda:</t>
        </r>
        <r>
          <rPr>
            <sz val="9"/>
            <color indexed="81"/>
            <rFont val="Calibri"/>
            <family val="2"/>
          </rPr>
          <t xml:space="preserve">
Silvia's update of RR04  Greenbook sheet from here onward</t>
        </r>
      </text>
    </comment>
    <comment ref="D242" authorId="0" shapeId="0" xr:uid="{00000000-0006-0000-0200-000007000000}">
      <text>
        <r>
          <rPr>
            <b/>
            <sz val="10"/>
            <color indexed="81"/>
            <rFont val="Calibri"/>
          </rPr>
          <t>Microsoft Office User:</t>
        </r>
        <r>
          <rPr>
            <sz val="10"/>
            <color indexed="81"/>
            <rFont val="Calibri"/>
          </rPr>
          <t xml:space="preserve">
For 2007/2008 same rule as prior to 1994 is followed
information on date and type of meeting is taken from the Fed Board website
If no record of the date is found then both isFOMC and isUNSCHEDULED are set to 0
if a record of the date is found and it coincides with a conference call then both isFOMC and isUNSCHEDULED are set to 1</t>
        </r>
      </text>
    </comment>
    <comment ref="K259" authorId="0" shapeId="0" xr:uid="{00000000-0006-0000-0200-000008000000}">
      <text>
        <r>
          <rPr>
            <b/>
            <sz val="10"/>
            <color indexed="81"/>
            <rFont val="Calibri"/>
          </rPr>
          <t>Microsoft Office User:</t>
        </r>
        <r>
          <rPr>
            <sz val="10"/>
            <color indexed="81"/>
            <rFont val="Calibri"/>
          </rPr>
          <t xml:space="preserve">
QE is announced on November 25, 2008</t>
        </r>
      </text>
    </comment>
    <comment ref="O259" authorId="1" shapeId="0" xr:uid="{00000000-0006-0000-0200-000009000000}">
      <text>
        <r>
          <rPr>
            <b/>
            <sz val="9"/>
            <color indexed="81"/>
            <rFont val="Tahoma"/>
          </rPr>
          <t xml:space="preserve">smiranda:FED moves from point to interval target. New target set to be equal to mid point
</t>
        </r>
      </text>
    </comment>
  </commentList>
</comments>
</file>

<file path=xl/sharedStrings.xml><?xml version="1.0" encoding="utf-8"?>
<sst xmlns="http://schemas.openxmlformats.org/spreadsheetml/2006/main" count="103" uniqueCount="61">
  <si>
    <t>HF Dates</t>
  </si>
  <si>
    <t>GB Dates</t>
  </si>
  <si>
    <t>isFOMC</t>
  </si>
  <si>
    <t>isUNSCHEDULED</t>
  </si>
  <si>
    <t>FF4</t>
  </si>
  <si>
    <t>MTGDATE</t>
  </si>
  <si>
    <t>DATE</t>
  </si>
  <si>
    <t>MEETREFQ</t>
  </si>
  <si>
    <t>GBDATE</t>
  </si>
  <si>
    <t>GBREFQ</t>
  </si>
  <si>
    <t>DTARG</t>
  </si>
  <si>
    <t>OLDTARG</t>
  </si>
  <si>
    <t>gPGDPB1</t>
  </si>
  <si>
    <t>gPGDPF0</t>
  </si>
  <si>
    <t>gPGDPF1</t>
  </si>
  <si>
    <t>gPGDPF2</t>
  </si>
  <si>
    <t>gPGDPF3</t>
  </si>
  <si>
    <t>iPGDPF0</t>
  </si>
  <si>
    <t>iPGDPF1</t>
  </si>
  <si>
    <t>iPGDPF2</t>
  </si>
  <si>
    <t>gRGDPB1</t>
  </si>
  <si>
    <t>gRGDPF0</t>
  </si>
  <si>
    <t>gRGDPF1</t>
  </si>
  <si>
    <t>gRGDPF2</t>
  </si>
  <si>
    <t>gRGDPF3</t>
  </si>
  <si>
    <t>iRGDPF0</t>
  </si>
  <si>
    <t>iRGDPF1</t>
  </si>
  <si>
    <t>iRGDPF2</t>
  </si>
  <si>
    <t>UNEMPB1</t>
  </si>
  <si>
    <t>UNEMPF0</t>
  </si>
  <si>
    <t>UNEMPF1</t>
  </si>
  <si>
    <t>UNEMPF2</t>
  </si>
  <si>
    <t>UNEMPF3</t>
  </si>
  <si>
    <t>iUNEMPF0</t>
  </si>
  <si>
    <t>iUNEMPF1</t>
  </si>
  <si>
    <t>iUNEMPF2</t>
  </si>
  <si>
    <t>iRGDPB1</t>
  </si>
  <si>
    <t>iUNEMPB1</t>
  </si>
  <si>
    <t>iPGDPB1</t>
  </si>
  <si>
    <r>
      <t xml:space="preserve">HF surprise in 4th Fed Funds Future in tight window around announcement. Source is Fed Board. Data file is </t>
    </r>
    <r>
      <rPr>
        <b/>
        <sz val="12"/>
        <color theme="1"/>
        <rFont val="Calibri"/>
        <family val="2"/>
        <scheme val="minor"/>
      </rPr>
      <t>HF Surprises Data - Fed Board Data.xls</t>
    </r>
  </si>
  <si>
    <t>MPI</t>
  </si>
  <si>
    <t>Monetary Policy Instrument in Miranda-Agrippino and Ricco WP version</t>
  </si>
  <si>
    <t>Indicator variable equal to 1 if the HF date corresponds to an FOMC meeting. 
Information on date and type of meeting is taken from the Fed Board website https://www.federalreserve.gov/monetarypolicy/fomc_historical_year.htm
If no record of the date is found then both isFOMC and isUNSCHEDULED are set to 0
if a record of the date is found and it coincides with a conference call then both isFOMC and isUNSCHEDULED are set to 1</t>
  </si>
  <si>
    <t xml:space="preserve">Indicator variable equal to 1 if a record for HF date is found on Fed Board website and it corresponds to a conference call </t>
  </si>
  <si>
    <r>
      <t xml:space="preserve">Dates at which high-frequency (HF) surprises are registered. The list of dates comes from the Fed Board. Data file is </t>
    </r>
    <r>
      <rPr>
        <b/>
        <sz val="12"/>
        <color theme="1"/>
        <rFont val="Calibri"/>
        <family val="2"/>
        <scheme val="minor"/>
      </rPr>
      <t xml:space="preserve">HF Surprises Data - Fed Board Data.xls
</t>
    </r>
    <r>
      <rPr>
        <sz val="12"/>
        <color theme="1"/>
        <rFont val="Calibri"/>
        <family val="2"/>
        <scheme val="minor"/>
      </rPr>
      <t>Prior to 1994 HF surprises are calculated using Open Market Operations (OMO) on the day following the FOMC meeting</t>
    </r>
  </si>
  <si>
    <t>Date of FOMC meeting https://www.federalreserve.gov/monetarypolicy/fomc_historical_year.htm</t>
  </si>
  <si>
    <t>Reference quarter of FOMC meeting</t>
  </si>
  <si>
    <t>Publication date of Greenbook forecast associated to each scheduled FOMC meeting. 
Data files at https://www.phil.frb.org/research-and-data/real-time-center/greenbook-data/</t>
  </si>
  <si>
    <t xml:space="preserve">Reference quarter of Greenbook forecast </t>
  </si>
  <si>
    <t>Change in target (intended) federal funds rate from previous FOMC meeting</t>
  </si>
  <si>
    <t>Target (intended) fed funds rate at previous FOMC meeting</t>
  </si>
  <si>
    <t>Greenbook forecasts for GDP deflator inflation (gPGDP)
Horizons:
B1 - previous quarter
F0 - current quarter
F1 - one quarter ahead
F2 - two quarters ahead
F3 - three quarters ahead</t>
  </si>
  <si>
    <t>Greenbook forecasts for real GDP growth (gRGDP)
Horizons:
B1 - previous quarter
F0 - current quarter
F1 - one quarter ahead
F2 - two quarters ahead
F3 - three quarters ahead</t>
  </si>
  <si>
    <t>Greenbook forecasts for unemployment rate (UNEMP)
Horizons:
B1 - previous quarter
F0 - current quarter
F1 - one quarter ahead
F2 - two quarters ahead
F3 - three quarters ahead</t>
  </si>
  <si>
    <t>From here onward the structure of the data sheets follows the data file of Romer &amp; Romer (2004) -- prior to 1997 it is in fact their file
DATA1 only assigns Greenbook forecasts to HF dates that are scheduled FOMC meetings
DATA2 assigns the latest available Greenbook forecast to all HF Dates</t>
  </si>
  <si>
    <t>Revision of Greenbook forecast for gPGDP between consecutive meetings
Horizons as above</t>
  </si>
  <si>
    <t>Revision of Greenbook forecast for gRGDP between consecutive meetings
Horizons as above</t>
  </si>
  <si>
    <t>Revision of Greenbook forecast for UNEMP between consecutive meetings
Horizons as above</t>
  </si>
  <si>
    <t>year</t>
  </si>
  <si>
    <t>month</t>
  </si>
  <si>
    <t xml:space="preserve">   ORGANIZATION OF DATA FILE
  ==========================
DATA2 assigns the latest available Greenbook forecast to all HF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</si>
</sst>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2">
    <font>
      <sz val="12"/>
      <color theme="1"/>
      <name val="Calibri"/>
      <family val="2"/>
      <scheme val="minor"/>
    </font>
    <font>
      <sz val="12"/>
      <color theme="1"/>
      <name val="Calibri"/>
      <family val="2"/>
      <scheme val="minor"/>
    </font>
    <font>
      <sz val="12"/>
      <color theme="1"/>
      <name val="Calibri"/>
      <family val="2"/>
      <scheme val="minor"/>
    </font>
    <font>
      <sz val="9"/>
      <name val="Times New Roman"/>
    </font>
    <font>
      <b/>
      <sz val="10"/>
      <color indexed="81"/>
      <name val="Calibri"/>
    </font>
    <font>
      <sz val="10"/>
      <color indexed="81"/>
      <name val="Calibri"/>
    </font>
    <font>
      <i/>
      <sz val="12"/>
      <name val="Calibri"/>
    </font>
    <font>
      <i/>
      <sz val="12"/>
      <name val="Calibri"/>
      <scheme val="minor"/>
    </font>
    <font>
      <sz val="12"/>
      <name val="Calibri"/>
      <family val="2"/>
      <scheme val="minor"/>
    </font>
    <font>
      <sz val="12"/>
      <name val="Calibri"/>
    </font>
    <font>
      <sz val="11"/>
      <name val="Times New Roman"/>
    </font>
    <font>
      <sz val="12"/>
      <name val="Calibri (Body)"/>
    </font>
    <font>
      <sz val="12"/>
      <color rgb="FFC0316F"/>
      <name val="Calibri (Body)"/>
    </font>
    <font>
      <sz val="12"/>
      <color theme="1"/>
      <name val="Calibri (Body)"/>
    </font>
    <font>
      <sz val="12"/>
      <color theme="4"/>
      <name val="Calibri (Body)"/>
    </font>
    <font>
      <b/>
      <sz val="9"/>
      <color indexed="81"/>
      <name val="Calibri"/>
      <family val="2"/>
    </font>
    <font>
      <sz val="9"/>
      <color indexed="81"/>
      <name val="Calibri"/>
      <family val="2"/>
    </font>
    <font>
      <b/>
      <sz val="9"/>
      <color indexed="81"/>
      <name val="Tahoma"/>
    </font>
    <font>
      <sz val="12"/>
      <color rgb="FFFF0000"/>
      <name val="Calibri"/>
      <family val="2"/>
      <scheme val="minor"/>
    </font>
    <font>
      <b/>
      <sz val="12"/>
      <color theme="1"/>
      <name val="Calibri"/>
      <family val="2"/>
      <scheme val="minor"/>
    </font>
    <font>
      <sz val="10"/>
      <name val="Arial"/>
      <family val="2"/>
    </font>
    <font>
      <b/>
      <sz val="12"/>
      <color rgb="FFFF0000"/>
      <name val="Calibri"/>
      <scheme val="minor"/>
    </font>
  </fonts>
  <fills count="7">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s>
  <borders count="1">
    <border>
      <left/>
      <right/>
      <top/>
      <bottom/>
      <diagonal/>
    </border>
  </borders>
  <cellStyleXfs count="3">
    <xf numFmtId="0" fontId="0" fillId="0" borderId="0"/>
    <xf numFmtId="0" fontId="10" fillId="0" borderId="0"/>
    <xf numFmtId="0" fontId="10" fillId="0" borderId="0"/>
  </cellStyleXfs>
  <cellXfs count="74">
    <xf numFmtId="0" fontId="0" fillId="0" borderId="0" xfId="0"/>
    <xf numFmtId="0" fontId="3" fillId="0" borderId="0" xfId="0" applyFont="1" applyAlignment="1">
      <alignment horizontal="center"/>
    </xf>
    <xf numFmtId="0" fontId="6" fillId="0" borderId="0" xfId="0" applyFont="1" applyAlignment="1">
      <alignment horizontal="center"/>
    </xf>
    <xf numFmtId="0" fontId="0" fillId="0" borderId="0" xfId="0" applyNumberFormat="1" applyFont="1" applyAlignment="1">
      <alignment horizontal="center" vertical="center"/>
    </xf>
    <xf numFmtId="0" fontId="0" fillId="0" borderId="0" xfId="0" applyFont="1"/>
    <xf numFmtId="0" fontId="7" fillId="0" borderId="0" xfId="0" applyFont="1" applyAlignment="1">
      <alignment horizontal="center"/>
    </xf>
    <xf numFmtId="14" fontId="0" fillId="0" borderId="0" xfId="0" applyNumberFormat="1" applyFont="1" applyAlignment="1">
      <alignment horizontal="center" vertical="center"/>
    </xf>
    <xf numFmtId="14" fontId="0" fillId="0" borderId="0" xfId="0" applyNumberFormat="1" applyFont="1"/>
    <xf numFmtId="14" fontId="0" fillId="2" borderId="0" xfId="0" applyNumberFormat="1" applyFont="1" applyFill="1"/>
    <xf numFmtId="0" fontId="0" fillId="2" borderId="0" xfId="0" applyFont="1" applyFill="1"/>
    <xf numFmtId="0" fontId="9" fillId="0" borderId="0" xfId="0" applyFont="1" applyAlignment="1">
      <alignment horizontal="center"/>
    </xf>
    <xf numFmtId="0" fontId="9" fillId="2" borderId="0" xfId="0" applyFont="1" applyFill="1" applyAlignment="1">
      <alignment horizontal="center"/>
    </xf>
    <xf numFmtId="0" fontId="11" fillId="0" borderId="0" xfId="1" applyFont="1"/>
    <xf numFmtId="164" fontId="11" fillId="0" borderId="0" xfId="2" applyNumberFormat="1" applyFont="1"/>
    <xf numFmtId="164" fontId="11" fillId="0" borderId="0" xfId="1" applyNumberFormat="1" applyFont="1"/>
    <xf numFmtId="2" fontId="11" fillId="0" borderId="0" xfId="1" applyNumberFormat="1" applyFont="1"/>
    <xf numFmtId="0" fontId="8" fillId="0" borderId="0" xfId="1" applyFont="1"/>
    <xf numFmtId="14" fontId="11" fillId="0" borderId="0" xfId="1" applyNumberFormat="1" applyFont="1"/>
    <xf numFmtId="164" fontId="11" fillId="3" borderId="0" xfId="1" applyNumberFormat="1" applyFont="1" applyFill="1"/>
    <xf numFmtId="0" fontId="12" fillId="4" borderId="0" xfId="0" applyNumberFormat="1" applyFont="1" applyFill="1"/>
    <xf numFmtId="2" fontId="11" fillId="0" borderId="0" xfId="1" applyNumberFormat="1" applyFont="1" applyAlignment="1">
      <alignment horizontal="right"/>
    </xf>
    <xf numFmtId="14" fontId="13" fillId="5" borderId="0" xfId="0" applyNumberFormat="1" applyFont="1" applyFill="1" applyAlignment="1"/>
    <xf numFmtId="14" fontId="11" fillId="5" borderId="0" xfId="1" applyNumberFormat="1" applyFont="1" applyFill="1"/>
    <xf numFmtId="164" fontId="11" fillId="5" borderId="0" xfId="2" applyNumberFormat="1" applyFont="1" applyFill="1"/>
    <xf numFmtId="0" fontId="13" fillId="0" borderId="0" xfId="0" applyNumberFormat="1" applyFont="1"/>
    <xf numFmtId="14" fontId="13" fillId="0" borderId="0" xfId="0" applyNumberFormat="1" applyFont="1"/>
    <xf numFmtId="0" fontId="13" fillId="3" borderId="0" xfId="0" applyFont="1" applyFill="1"/>
    <xf numFmtId="14" fontId="13" fillId="0" borderId="0" xfId="0" applyNumberFormat="1" applyFont="1" applyAlignment="1"/>
    <xf numFmtId="0" fontId="13" fillId="0" borderId="0" xfId="0" applyNumberFormat="1" applyFont="1" applyFill="1"/>
    <xf numFmtId="14" fontId="13" fillId="0" borderId="0" xfId="0" applyNumberFormat="1" applyFont="1" applyFill="1" applyAlignment="1"/>
    <xf numFmtId="14" fontId="11" fillId="0" borderId="0" xfId="1" applyNumberFormat="1" applyFont="1" applyFill="1"/>
    <xf numFmtId="164" fontId="11" fillId="0" borderId="0" xfId="2" applyNumberFormat="1" applyFont="1" applyFill="1"/>
    <xf numFmtId="164" fontId="14" fillId="0" borderId="0" xfId="2" applyNumberFormat="1" applyFont="1"/>
    <xf numFmtId="0" fontId="14" fillId="3" borderId="0" xfId="0" applyFont="1" applyFill="1"/>
    <xf numFmtId="0" fontId="8" fillId="0" borderId="0" xfId="1" quotePrefix="1" applyNumberFormat="1" applyFont="1"/>
    <xf numFmtId="14" fontId="8" fillId="0" borderId="0" xfId="1" applyNumberFormat="1" applyFont="1"/>
    <xf numFmtId="164" fontId="8" fillId="0" borderId="0" xfId="1" applyNumberFormat="1" applyFont="1"/>
    <xf numFmtId="2" fontId="8" fillId="0" borderId="0" xfId="1" applyNumberFormat="1" applyFont="1"/>
    <xf numFmtId="14" fontId="2" fillId="0" borderId="0" xfId="0" applyNumberFormat="1" applyFont="1"/>
    <xf numFmtId="14" fontId="1" fillId="0" borderId="0" xfId="0" applyNumberFormat="1" applyFont="1"/>
    <xf numFmtId="0" fontId="11" fillId="0" borderId="0" xfId="1" applyFont="1" applyFill="1"/>
    <xf numFmtId="14" fontId="13" fillId="0" borderId="0" xfId="0" applyNumberFormat="1" applyFont="1" applyFill="1"/>
    <xf numFmtId="14" fontId="8" fillId="0" borderId="0" xfId="1" applyNumberFormat="1" applyFont="1" applyFill="1"/>
    <xf numFmtId="0" fontId="8" fillId="0" borderId="0" xfId="1" applyFont="1" applyFill="1"/>
    <xf numFmtId="0" fontId="3" fillId="0" borderId="0" xfId="0" applyFont="1" applyFill="1" applyAlignment="1">
      <alignment horizontal="center"/>
    </xf>
    <xf numFmtId="0" fontId="0" fillId="0" borderId="0" xfId="0" applyFill="1"/>
    <xf numFmtId="0" fontId="13" fillId="5" borderId="0" xfId="0" applyNumberFormat="1" applyFont="1" applyFill="1" applyAlignment="1"/>
    <xf numFmtId="0" fontId="0" fillId="0" borderId="0" xfId="0" applyNumberFormat="1" applyAlignment="1">
      <alignment horizontal="center" vertical="center"/>
    </xf>
    <xf numFmtId="0" fontId="0" fillId="0" borderId="0" xfId="0" applyNumberFormat="1" applyFill="1" applyAlignment="1">
      <alignment horizontal="center" vertical="center"/>
    </xf>
    <xf numFmtId="0" fontId="20" fillId="0" borderId="0" xfId="0" applyNumberFormat="1" applyFont="1" applyAlignment="1">
      <alignment horizontal="center" vertical="center"/>
    </xf>
    <xf numFmtId="0" fontId="20" fillId="0" borderId="0" xfId="0" applyNumberFormat="1" applyFont="1" applyFill="1" applyAlignment="1">
      <alignment horizontal="center" vertical="center"/>
    </xf>
    <xf numFmtId="0" fontId="0" fillId="0" borderId="0" xfId="0" applyAlignment="1">
      <alignment wrapText="1"/>
    </xf>
    <xf numFmtId="0" fontId="0" fillId="0" borderId="0" xfId="0" applyNumberFormat="1" applyFont="1" applyAlignment="1">
      <alignment horizontal="left" vertical="top"/>
    </xf>
    <xf numFmtId="0" fontId="7" fillId="0" borderId="0" xfId="0" applyFont="1" applyAlignment="1">
      <alignment horizontal="left" vertical="top"/>
    </xf>
    <xf numFmtId="0" fontId="6" fillId="0" borderId="0" xfId="0" applyFont="1" applyAlignment="1">
      <alignment horizontal="left" vertical="top"/>
    </xf>
    <xf numFmtId="0" fontId="11" fillId="0" borderId="0" xfId="1" applyFont="1" applyAlignment="1">
      <alignment horizontal="left" vertical="top"/>
    </xf>
    <xf numFmtId="164" fontId="11" fillId="0" borderId="0" xfId="2" applyNumberFormat="1" applyFont="1" applyAlignment="1">
      <alignment horizontal="left" vertical="top"/>
    </xf>
    <xf numFmtId="0" fontId="11" fillId="0" borderId="0" xfId="1" applyFont="1" applyFill="1" applyAlignment="1">
      <alignment horizontal="left" vertical="top"/>
    </xf>
    <xf numFmtId="164" fontId="11" fillId="0" borderId="0" xfId="1" applyNumberFormat="1" applyFont="1" applyAlignment="1">
      <alignment horizontal="left" vertical="top"/>
    </xf>
    <xf numFmtId="0" fontId="0" fillId="0" borderId="0" xfId="0" applyNumberFormat="1" applyAlignment="1">
      <alignment horizontal="left" vertical="top"/>
    </xf>
    <xf numFmtId="0" fontId="0" fillId="0" borderId="0" xfId="0" applyNumberFormat="1" applyFill="1" applyAlignment="1">
      <alignment horizontal="left" vertical="top"/>
    </xf>
    <xf numFmtId="0" fontId="20" fillId="0" borderId="0" xfId="0" applyNumberFormat="1" applyFont="1" applyAlignment="1">
      <alignment horizontal="left" vertical="top"/>
    </xf>
    <xf numFmtId="0" fontId="20" fillId="0" borderId="0" xfId="0" applyNumberFormat="1" applyFont="1" applyFill="1" applyAlignment="1">
      <alignment horizontal="left" vertical="top"/>
    </xf>
    <xf numFmtId="0" fontId="0" fillId="0" borderId="0" xfId="0" applyAlignment="1">
      <alignment vertical="top"/>
    </xf>
    <xf numFmtId="164" fontId="11" fillId="5" borderId="0" xfId="2" applyNumberFormat="1" applyFont="1" applyFill="1" applyAlignment="1">
      <alignment horizontal="center"/>
    </xf>
    <xf numFmtId="0" fontId="11" fillId="5" borderId="0" xfId="2" applyNumberFormat="1" applyFont="1" applyFill="1"/>
    <xf numFmtId="2" fontId="11" fillId="5" borderId="0" xfId="2" applyNumberFormat="1" applyFont="1" applyFill="1"/>
    <xf numFmtId="14" fontId="18" fillId="0" borderId="0" xfId="0" applyNumberFormat="1" applyFont="1" applyAlignment="1">
      <alignment horizontal="center" vertical="center"/>
    </xf>
    <xf numFmtId="2" fontId="18" fillId="0" borderId="0" xfId="1" applyNumberFormat="1" applyFont="1" applyAlignment="1">
      <alignment horizontal="right"/>
    </xf>
    <xf numFmtId="0" fontId="18" fillId="4" borderId="0" xfId="0" applyNumberFormat="1" applyFont="1" applyFill="1"/>
    <xf numFmtId="0" fontId="18" fillId="0" borderId="0" xfId="0" applyNumberFormat="1" applyFont="1" applyAlignment="1">
      <alignment horizontal="center" vertical="center"/>
    </xf>
    <xf numFmtId="0" fontId="0" fillId="0" borderId="0" xfId="0" applyAlignment="1">
      <alignment horizontal="left" vertical="top" wrapText="1"/>
    </xf>
    <xf numFmtId="0" fontId="21" fillId="6" borderId="0" xfId="0" applyFont="1" applyFill="1" applyAlignment="1">
      <alignment horizontal="left" vertical="top" wrapText="1"/>
    </xf>
    <xf numFmtId="0" fontId="21" fillId="6" borderId="0" xfId="0" applyFont="1" applyFill="1" applyAlignment="1">
      <alignment horizontal="left" vertical="top"/>
    </xf>
  </cellXfs>
  <cellStyles count="3">
    <cellStyle name="Normal" xfId="0" builtinId="0"/>
    <cellStyle name="Normal 3" xfId="2" xr:uid="{00000000-0005-0000-0000-000001000000}"/>
    <cellStyle name="Normal 4" xfId="1" xr:uid="{00000000-0005-0000-0000-000002000000}"/>
  </cellStyles>
  <dxfs count="7">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D52"/>
  <sheetViews>
    <sheetView topLeftCell="A45" workbookViewId="0">
      <selection activeCell="D17" sqref="D17"/>
    </sheetView>
  </sheetViews>
  <sheetFormatPr baseColWidth="10" defaultRowHeight="16"/>
  <cols>
    <col min="3" max="3" width="15.33203125" style="63" bestFit="1" customWidth="1"/>
    <col min="4" max="4" width="64.83203125" style="51" customWidth="1"/>
  </cols>
  <sheetData>
    <row r="2" spans="3:4">
      <c r="C2" s="72" t="s">
        <v>60</v>
      </c>
      <c r="D2" s="73"/>
    </row>
    <row r="3" spans="3:4" ht="90" customHeight="1">
      <c r="C3" s="73"/>
      <c r="D3" s="73"/>
    </row>
    <row r="4" spans="3:4" ht="9" customHeight="1"/>
    <row r="5" spans="3:4" ht="80">
      <c r="C5" s="52" t="s">
        <v>0</v>
      </c>
      <c r="D5" s="51" t="s">
        <v>44</v>
      </c>
    </row>
    <row r="6" spans="3:4" ht="80">
      <c r="C6" s="52" t="s">
        <v>1</v>
      </c>
      <c r="D6" s="51" t="s">
        <v>47</v>
      </c>
    </row>
    <row r="7" spans="3:4" ht="160">
      <c r="C7" s="53" t="s">
        <v>2</v>
      </c>
      <c r="D7" s="51" t="s">
        <v>42</v>
      </c>
    </row>
    <row r="8" spans="3:4" ht="32">
      <c r="C8" s="53" t="s">
        <v>3</v>
      </c>
      <c r="D8" s="51" t="s">
        <v>43</v>
      </c>
    </row>
    <row r="9" spans="3:4" ht="9" customHeight="1"/>
    <row r="10" spans="3:4" ht="34">
      <c r="C10" s="54" t="s">
        <v>4</v>
      </c>
      <c r="D10" s="51" t="s">
        <v>39</v>
      </c>
    </row>
    <row r="11" spans="3:4" ht="17">
      <c r="C11" s="54" t="s">
        <v>40</v>
      </c>
      <c r="D11" s="51" t="s">
        <v>41</v>
      </c>
    </row>
    <row r="12" spans="3:4" ht="9" customHeight="1"/>
    <row r="13" spans="3:4">
      <c r="C13" s="72" t="s">
        <v>54</v>
      </c>
      <c r="D13" s="73"/>
    </row>
    <row r="14" spans="3:4" ht="85" customHeight="1">
      <c r="C14" s="73"/>
      <c r="D14" s="73"/>
    </row>
    <row r="15" spans="3:4" ht="9" customHeight="1"/>
    <row r="16" spans="3:4" ht="34">
      <c r="C16" s="55" t="s">
        <v>5</v>
      </c>
      <c r="D16" s="51" t="s">
        <v>45</v>
      </c>
    </row>
    <row r="17" spans="3:4" ht="34">
      <c r="C17" s="55" t="s">
        <v>6</v>
      </c>
      <c r="D17" s="51" t="s">
        <v>45</v>
      </c>
    </row>
    <row r="18" spans="3:4" ht="17">
      <c r="C18" s="56" t="s">
        <v>7</v>
      </c>
      <c r="D18" s="51" t="s">
        <v>46</v>
      </c>
    </row>
    <row r="19" spans="3:4" ht="85">
      <c r="C19" s="57" t="s">
        <v>8</v>
      </c>
      <c r="D19" s="51" t="s">
        <v>47</v>
      </c>
    </row>
    <row r="20" spans="3:4" ht="17">
      <c r="C20" s="56" t="s">
        <v>9</v>
      </c>
      <c r="D20" s="51" t="s">
        <v>48</v>
      </c>
    </row>
    <row r="21" spans="3:4" ht="34">
      <c r="C21" s="58" t="s">
        <v>10</v>
      </c>
      <c r="D21" s="51" t="s">
        <v>49</v>
      </c>
    </row>
    <row r="22" spans="3:4" ht="17">
      <c r="C22" s="58" t="s">
        <v>11</v>
      </c>
      <c r="D22" s="51" t="s">
        <v>50</v>
      </c>
    </row>
    <row r="23" spans="3:4" ht="9" customHeight="1"/>
    <row r="24" spans="3:4" ht="27" customHeight="1">
      <c r="C24" s="59" t="s">
        <v>12</v>
      </c>
      <c r="D24" s="71" t="s">
        <v>51</v>
      </c>
    </row>
    <row r="25" spans="3:4" ht="27" customHeight="1">
      <c r="C25" s="60" t="s">
        <v>13</v>
      </c>
      <c r="D25" s="71"/>
    </row>
    <row r="26" spans="3:4" ht="27" customHeight="1">
      <c r="C26" s="59" t="s">
        <v>14</v>
      </c>
      <c r="D26" s="71"/>
    </row>
    <row r="27" spans="3:4" ht="27" customHeight="1">
      <c r="C27" s="59" t="s">
        <v>15</v>
      </c>
      <c r="D27" s="71"/>
    </row>
    <row r="28" spans="3:4" ht="27" customHeight="1">
      <c r="C28" s="59" t="s">
        <v>16</v>
      </c>
      <c r="D28" s="71"/>
    </row>
    <row r="29" spans="3:4">
      <c r="C29" s="60" t="s">
        <v>38</v>
      </c>
      <c r="D29" s="71" t="s">
        <v>55</v>
      </c>
    </row>
    <row r="30" spans="3:4">
      <c r="C30" s="59" t="s">
        <v>17</v>
      </c>
      <c r="D30" s="71"/>
    </row>
    <row r="31" spans="3:4">
      <c r="C31" s="59" t="s">
        <v>18</v>
      </c>
      <c r="D31" s="71"/>
    </row>
    <row r="32" spans="3:4">
      <c r="C32" s="59" t="s">
        <v>19</v>
      </c>
      <c r="D32" s="71"/>
    </row>
    <row r="33" spans="3:4" ht="9" customHeight="1"/>
    <row r="34" spans="3:4" ht="27" customHeight="1">
      <c r="C34" s="59" t="s">
        <v>20</v>
      </c>
      <c r="D34" s="71" t="s">
        <v>52</v>
      </c>
    </row>
    <row r="35" spans="3:4" ht="27" customHeight="1">
      <c r="C35" s="60" t="s">
        <v>21</v>
      </c>
      <c r="D35" s="71"/>
    </row>
    <row r="36" spans="3:4" ht="27" customHeight="1">
      <c r="C36" s="59" t="s">
        <v>22</v>
      </c>
      <c r="D36" s="71"/>
    </row>
    <row r="37" spans="3:4" ht="27" customHeight="1">
      <c r="C37" s="59" t="s">
        <v>23</v>
      </c>
      <c r="D37" s="71"/>
    </row>
    <row r="38" spans="3:4" ht="27" customHeight="1">
      <c r="C38" s="59" t="s">
        <v>24</v>
      </c>
      <c r="D38" s="71"/>
    </row>
    <row r="39" spans="3:4">
      <c r="C39" s="60" t="s">
        <v>36</v>
      </c>
      <c r="D39" s="71" t="s">
        <v>56</v>
      </c>
    </row>
    <row r="40" spans="3:4">
      <c r="C40" s="59" t="s">
        <v>25</v>
      </c>
      <c r="D40" s="71"/>
    </row>
    <row r="41" spans="3:4">
      <c r="C41" s="59" t="s">
        <v>26</v>
      </c>
      <c r="D41" s="71"/>
    </row>
    <row r="42" spans="3:4">
      <c r="C42" s="59" t="s">
        <v>27</v>
      </c>
      <c r="D42" s="71"/>
    </row>
    <row r="43" spans="3:4" ht="9" customHeight="1"/>
    <row r="44" spans="3:4" ht="27" customHeight="1">
      <c r="C44" s="61" t="s">
        <v>28</v>
      </c>
      <c r="D44" s="71" t="s">
        <v>53</v>
      </c>
    </row>
    <row r="45" spans="3:4" ht="27" customHeight="1">
      <c r="C45" s="62" t="s">
        <v>29</v>
      </c>
      <c r="D45" s="71"/>
    </row>
    <row r="46" spans="3:4" ht="27" customHeight="1">
      <c r="C46" s="61" t="s">
        <v>30</v>
      </c>
      <c r="D46" s="71"/>
    </row>
    <row r="47" spans="3:4" ht="27" customHeight="1">
      <c r="C47" s="61" t="s">
        <v>31</v>
      </c>
      <c r="D47" s="71"/>
    </row>
    <row r="48" spans="3:4" ht="27" customHeight="1">
      <c r="C48" s="61" t="s">
        <v>32</v>
      </c>
      <c r="D48" s="71"/>
    </row>
    <row r="49" spans="3:4">
      <c r="C49" s="62" t="s">
        <v>37</v>
      </c>
      <c r="D49" s="71" t="s">
        <v>57</v>
      </c>
    </row>
    <row r="50" spans="3:4">
      <c r="C50" s="61" t="s">
        <v>33</v>
      </c>
      <c r="D50" s="71"/>
    </row>
    <row r="51" spans="3:4">
      <c r="C51" s="61" t="s">
        <v>34</v>
      </c>
      <c r="D51" s="71"/>
    </row>
    <row r="52" spans="3:4">
      <c r="C52" s="61" t="s">
        <v>35</v>
      </c>
      <c r="D52" s="71"/>
    </row>
  </sheetData>
  <mergeCells count="8">
    <mergeCell ref="D49:D52"/>
    <mergeCell ref="C2:D3"/>
    <mergeCell ref="C13:D14"/>
    <mergeCell ref="D24:D28"/>
    <mergeCell ref="D34:D38"/>
    <mergeCell ref="D44:D48"/>
    <mergeCell ref="D29:D32"/>
    <mergeCell ref="D39:D42"/>
  </mergeCells>
  <conditionalFormatting sqref="C8">
    <cfRule type="cellIs" dxfId="6" priority="2" operator="equal">
      <formula>1</formula>
    </cfRule>
  </conditionalFormatting>
  <conditionalFormatting sqref="C7">
    <cfRule type="cellIs" dxfId="5" priority="1" operator="equal">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B1:AQ555"/>
  <sheetViews>
    <sheetView tabSelected="1" workbookViewId="0">
      <pane xSplit="7" ySplit="1" topLeftCell="H2" activePane="bottomRight" state="frozen"/>
      <selection pane="topRight" activeCell="F1" sqref="F1"/>
      <selection pane="bottomLeft" activeCell="A2" sqref="A2"/>
      <selection pane="bottomRight" activeCell="N7" sqref="N7"/>
    </sheetView>
  </sheetViews>
  <sheetFormatPr baseColWidth="10" defaultRowHeight="16"/>
  <cols>
    <col min="6" max="7" width="15.83203125" customWidth="1"/>
    <col min="13" max="13" width="10.83203125" style="45"/>
  </cols>
  <sheetData>
    <row r="1" spans="2:43">
      <c r="B1" t="s">
        <v>58</v>
      </c>
      <c r="C1" t="s">
        <v>59</v>
      </c>
      <c r="D1" s="3" t="s">
        <v>0</v>
      </c>
      <c r="E1" s="3" t="s">
        <v>1</v>
      </c>
      <c r="F1" s="5" t="s">
        <v>2</v>
      </c>
      <c r="G1" s="5" t="s">
        <v>3</v>
      </c>
      <c r="H1" s="2" t="s">
        <v>4</v>
      </c>
      <c r="I1" s="2" t="s">
        <v>40</v>
      </c>
      <c r="J1" s="12" t="s">
        <v>5</v>
      </c>
      <c r="K1" s="12" t="s">
        <v>6</v>
      </c>
      <c r="L1" s="13" t="s">
        <v>7</v>
      </c>
      <c r="M1" s="40" t="s">
        <v>8</v>
      </c>
      <c r="N1" s="13" t="s">
        <v>9</v>
      </c>
      <c r="O1" s="14" t="s">
        <v>10</v>
      </c>
      <c r="P1" s="14" t="s">
        <v>11</v>
      </c>
      <c r="Q1" s="47" t="s">
        <v>12</v>
      </c>
      <c r="R1" s="48" t="s">
        <v>13</v>
      </c>
      <c r="S1" s="47" t="s">
        <v>14</v>
      </c>
      <c r="T1" s="47" t="s">
        <v>15</v>
      </c>
      <c r="U1" s="47" t="s">
        <v>16</v>
      </c>
      <c r="V1" s="48" t="s">
        <v>38</v>
      </c>
      <c r="W1" s="47" t="s">
        <v>17</v>
      </c>
      <c r="X1" s="47" t="s">
        <v>18</v>
      </c>
      <c r="Y1" s="47" t="s">
        <v>19</v>
      </c>
      <c r="Z1" s="47" t="s">
        <v>20</v>
      </c>
      <c r="AA1" s="48" t="s">
        <v>21</v>
      </c>
      <c r="AB1" s="47" t="s">
        <v>22</v>
      </c>
      <c r="AC1" s="47" t="s">
        <v>23</v>
      </c>
      <c r="AD1" s="47" t="s">
        <v>24</v>
      </c>
      <c r="AE1" s="48" t="s">
        <v>36</v>
      </c>
      <c r="AF1" s="47" t="s">
        <v>25</v>
      </c>
      <c r="AG1" s="47" t="s">
        <v>26</v>
      </c>
      <c r="AH1" s="47" t="s">
        <v>27</v>
      </c>
      <c r="AI1" s="49" t="s">
        <v>28</v>
      </c>
      <c r="AJ1" s="50" t="s">
        <v>29</v>
      </c>
      <c r="AK1" s="49" t="s">
        <v>30</v>
      </c>
      <c r="AL1" s="49" t="s">
        <v>31</v>
      </c>
      <c r="AM1" s="49" t="s">
        <v>32</v>
      </c>
      <c r="AN1" s="50" t="s">
        <v>37</v>
      </c>
      <c r="AO1" s="49" t="s">
        <v>33</v>
      </c>
      <c r="AP1" s="49" t="s">
        <v>34</v>
      </c>
      <c r="AQ1" s="49" t="s">
        <v>35</v>
      </c>
    </row>
    <row r="2" spans="2:43">
      <c r="B2">
        <f>YEAR(D2)</f>
        <v>1984</v>
      </c>
      <c r="C2">
        <f>MONTH(D2)</f>
        <v>2</v>
      </c>
      <c r="D2" s="7">
        <v>30713</v>
      </c>
      <c r="E2" s="6">
        <v>30706</v>
      </c>
      <c r="F2" s="4">
        <v>1</v>
      </c>
      <c r="G2" s="4">
        <v>0</v>
      </c>
      <c r="H2" s="10" t="e">
        <v>#N/A</v>
      </c>
      <c r="I2" s="10" t="e">
        <v>#N/A</v>
      </c>
      <c r="J2" s="12">
        <v>13184</v>
      </c>
      <c r="K2" s="17">
        <v>30712</v>
      </c>
      <c r="L2" s="17">
        <v>30742</v>
      </c>
      <c r="M2" s="30">
        <v>30706</v>
      </c>
      <c r="N2" s="17">
        <v>30742</v>
      </c>
      <c r="O2" s="14">
        <v>0</v>
      </c>
      <c r="P2" s="18">
        <v>9.375</v>
      </c>
      <c r="Q2" s="20">
        <v>3.9</v>
      </c>
      <c r="R2" s="20">
        <v>5.2</v>
      </c>
      <c r="S2" s="20">
        <v>4.0999999999999996</v>
      </c>
      <c r="T2" s="20">
        <v>4.3</v>
      </c>
      <c r="U2" s="20">
        <v>4.5999999999999996</v>
      </c>
      <c r="V2" s="19">
        <v>-1</v>
      </c>
      <c r="W2" s="19">
        <v>0.3</v>
      </c>
      <c r="X2" s="19">
        <v>-0.3</v>
      </c>
      <c r="Y2" s="19">
        <v>-0.2</v>
      </c>
      <c r="Z2" s="20">
        <v>4.5</v>
      </c>
      <c r="AA2" s="20">
        <v>4.7</v>
      </c>
      <c r="AB2" s="20">
        <v>4.4000000000000004</v>
      </c>
      <c r="AC2" s="20">
        <v>4.3</v>
      </c>
      <c r="AD2" s="20">
        <v>3.8</v>
      </c>
      <c r="AE2" s="19">
        <v>-1.8</v>
      </c>
      <c r="AF2" s="19">
        <v>-0.1</v>
      </c>
      <c r="AG2" s="19">
        <v>0.3</v>
      </c>
      <c r="AH2" s="19">
        <v>0.1</v>
      </c>
      <c r="AI2" s="15">
        <v>8.5</v>
      </c>
      <c r="AJ2" s="15">
        <v>8</v>
      </c>
      <c r="AK2" s="15">
        <v>7.8</v>
      </c>
      <c r="AL2" s="15">
        <v>7.6</v>
      </c>
      <c r="AM2" s="15">
        <v>7.5</v>
      </c>
      <c r="AN2" s="19">
        <v>0</v>
      </c>
      <c r="AO2" s="19">
        <v>-0.1</v>
      </c>
      <c r="AP2" s="19">
        <v>-0.2</v>
      </c>
      <c r="AQ2" s="19">
        <v>-0.3</v>
      </c>
    </row>
    <row r="3" spans="2:43">
      <c r="B3">
        <f t="shared" ref="B3:B66" si="0">YEAR(D3)</f>
        <v>1984</v>
      </c>
      <c r="C3">
        <f t="shared" ref="C3:C66" si="1">MONTH(D3)</f>
        <v>3</v>
      </c>
      <c r="D3" s="7">
        <v>30769</v>
      </c>
      <c r="E3" s="6">
        <v>30762</v>
      </c>
      <c r="F3" s="4">
        <v>1</v>
      </c>
      <c r="G3" s="4">
        <v>0</v>
      </c>
      <c r="H3" s="10" t="e">
        <v>#N/A</v>
      </c>
      <c r="I3" s="10" t="e">
        <v>#N/A</v>
      </c>
      <c r="J3" s="12">
        <v>32784</v>
      </c>
      <c r="K3" s="17">
        <v>30768</v>
      </c>
      <c r="L3" s="17">
        <v>30742</v>
      </c>
      <c r="M3" s="30">
        <v>30762</v>
      </c>
      <c r="N3" s="17">
        <v>30742</v>
      </c>
      <c r="O3" s="14">
        <v>0.375</v>
      </c>
      <c r="P3" s="18">
        <v>10.125</v>
      </c>
      <c r="Q3" s="20">
        <v>3.9</v>
      </c>
      <c r="R3" s="20">
        <v>4.8</v>
      </c>
      <c r="S3" s="20">
        <v>4.0999999999999996</v>
      </c>
      <c r="T3" s="20">
        <v>4.7</v>
      </c>
      <c r="U3" s="20">
        <v>5.0999999999999996</v>
      </c>
      <c r="V3" s="19">
        <v>0</v>
      </c>
      <c r="W3" s="19">
        <v>-0.4</v>
      </c>
      <c r="X3" s="19">
        <v>0</v>
      </c>
      <c r="Y3" s="19">
        <v>0.4</v>
      </c>
      <c r="Z3" s="20">
        <v>5</v>
      </c>
      <c r="AA3" s="20">
        <v>8</v>
      </c>
      <c r="AB3" s="20">
        <v>6</v>
      </c>
      <c r="AC3" s="20">
        <v>4</v>
      </c>
      <c r="AD3" s="20">
        <v>3.1</v>
      </c>
      <c r="AE3" s="19">
        <v>0.5</v>
      </c>
      <c r="AF3" s="19">
        <v>3.3</v>
      </c>
      <c r="AG3" s="19">
        <v>1.6</v>
      </c>
      <c r="AH3" s="19">
        <v>-0.3</v>
      </c>
      <c r="AI3" s="15">
        <v>8.5</v>
      </c>
      <c r="AJ3" s="15">
        <v>7.8</v>
      </c>
      <c r="AK3" s="15">
        <v>7.2</v>
      </c>
      <c r="AL3" s="15">
        <v>6.9</v>
      </c>
      <c r="AM3" s="15">
        <v>6.8</v>
      </c>
      <c r="AN3" s="19">
        <v>0</v>
      </c>
      <c r="AO3" s="19">
        <v>-0.2</v>
      </c>
      <c r="AP3" s="19">
        <v>-0.6</v>
      </c>
      <c r="AQ3" s="19">
        <v>-0.7</v>
      </c>
    </row>
    <row r="4" spans="2:43">
      <c r="B4">
        <f t="shared" si="0"/>
        <v>1984</v>
      </c>
      <c r="C4">
        <f t="shared" si="1"/>
        <v>5</v>
      </c>
      <c r="D4" s="7">
        <v>30825</v>
      </c>
      <c r="E4" s="6">
        <v>30818</v>
      </c>
      <c r="F4" s="4">
        <v>1</v>
      </c>
      <c r="G4" s="4">
        <v>0</v>
      </c>
      <c r="H4" s="10" t="e">
        <v>#N/A</v>
      </c>
      <c r="I4" s="10" t="e">
        <v>#N/A</v>
      </c>
      <c r="J4" s="12">
        <v>52284</v>
      </c>
      <c r="K4" s="17">
        <v>30824</v>
      </c>
      <c r="L4" s="17">
        <v>30834</v>
      </c>
      <c r="M4" s="30">
        <v>30818</v>
      </c>
      <c r="N4" s="17">
        <v>30834</v>
      </c>
      <c r="O4" s="14">
        <v>0</v>
      </c>
      <c r="P4" s="18">
        <v>10.5</v>
      </c>
      <c r="Q4" s="20">
        <v>4.0999999999999996</v>
      </c>
      <c r="R4" s="20">
        <v>4.3</v>
      </c>
      <c r="S4" s="20">
        <v>4.5999999999999996</v>
      </c>
      <c r="T4" s="20">
        <v>4.7</v>
      </c>
      <c r="U4" s="20">
        <v>5.4</v>
      </c>
      <c r="V4" s="19">
        <v>-0.7</v>
      </c>
      <c r="W4" s="19">
        <v>0.2</v>
      </c>
      <c r="X4" s="19">
        <v>-0.1</v>
      </c>
      <c r="Y4" s="19">
        <v>-0.4</v>
      </c>
      <c r="Z4" s="20">
        <v>8.3000000000000007</v>
      </c>
      <c r="AA4" s="20">
        <v>5</v>
      </c>
      <c r="AB4" s="20">
        <v>4.9000000000000004</v>
      </c>
      <c r="AC4" s="20">
        <v>3.1</v>
      </c>
      <c r="AD4" s="20">
        <v>2.7</v>
      </c>
      <c r="AE4" s="19">
        <v>0.3</v>
      </c>
      <c r="AF4" s="19">
        <v>-1</v>
      </c>
      <c r="AG4" s="19">
        <v>0.9</v>
      </c>
      <c r="AH4" s="19">
        <v>0</v>
      </c>
      <c r="AI4" s="15">
        <v>7.9</v>
      </c>
      <c r="AJ4" s="15">
        <v>7.6</v>
      </c>
      <c r="AK4" s="15">
        <v>7.3</v>
      </c>
      <c r="AL4" s="15">
        <v>7.2</v>
      </c>
      <c r="AM4" s="15">
        <v>7.1</v>
      </c>
      <c r="AN4" s="19">
        <v>0.1</v>
      </c>
      <c r="AO4" s="19">
        <v>0.4</v>
      </c>
      <c r="AP4" s="19">
        <v>0.4</v>
      </c>
      <c r="AQ4" s="19">
        <v>0.4</v>
      </c>
    </row>
    <row r="5" spans="2:43">
      <c r="B5">
        <f t="shared" si="0"/>
        <v>1984</v>
      </c>
      <c r="C5">
        <f t="shared" si="1"/>
        <v>7</v>
      </c>
      <c r="D5" s="7">
        <v>30881</v>
      </c>
      <c r="E5" s="6">
        <v>30874</v>
      </c>
      <c r="F5" s="4">
        <v>1</v>
      </c>
      <c r="G5" s="4">
        <v>0</v>
      </c>
      <c r="H5" s="10" t="e">
        <v>#N/A</v>
      </c>
      <c r="I5" s="10" t="e">
        <v>#N/A</v>
      </c>
      <c r="J5" s="12">
        <v>71784</v>
      </c>
      <c r="K5" s="17">
        <v>30880</v>
      </c>
      <c r="L5" s="17">
        <v>30926</v>
      </c>
      <c r="M5" s="30">
        <v>30874</v>
      </c>
      <c r="N5" s="17">
        <v>30926</v>
      </c>
      <c r="O5" s="14">
        <v>0.375</v>
      </c>
      <c r="P5" s="18">
        <v>11</v>
      </c>
      <c r="Q5" s="20">
        <v>2.8</v>
      </c>
      <c r="R5" s="20">
        <v>4.0999999999999996</v>
      </c>
      <c r="S5" s="20">
        <v>4.5</v>
      </c>
      <c r="T5" s="20">
        <v>4.9000000000000004</v>
      </c>
      <c r="U5" s="20">
        <v>4.8</v>
      </c>
      <c r="V5" s="19">
        <v>-1.5</v>
      </c>
      <c r="W5" s="19">
        <v>-0.5</v>
      </c>
      <c r="X5" s="19">
        <v>-0.2</v>
      </c>
      <c r="Y5" s="19">
        <v>-0.5</v>
      </c>
      <c r="Z5" s="20">
        <v>6.7</v>
      </c>
      <c r="AA5" s="20">
        <v>5.3</v>
      </c>
      <c r="AB5" s="20">
        <v>3.5</v>
      </c>
      <c r="AC5" s="20">
        <v>3</v>
      </c>
      <c r="AD5" s="20">
        <v>2.8</v>
      </c>
      <c r="AE5" s="19">
        <v>1.7</v>
      </c>
      <c r="AF5" s="19">
        <v>0.4</v>
      </c>
      <c r="AG5" s="19">
        <v>0.4</v>
      </c>
      <c r="AH5" s="19">
        <v>0.3</v>
      </c>
      <c r="AI5" s="15">
        <v>7.5</v>
      </c>
      <c r="AJ5" s="15">
        <v>6.9</v>
      </c>
      <c r="AK5" s="15">
        <v>6.7</v>
      </c>
      <c r="AL5" s="15">
        <v>6.6</v>
      </c>
      <c r="AM5" s="15">
        <v>6.5</v>
      </c>
      <c r="AN5" s="19">
        <v>-0.1</v>
      </c>
      <c r="AO5" s="19">
        <v>-0.4</v>
      </c>
      <c r="AP5" s="19">
        <v>-0.5</v>
      </c>
      <c r="AQ5" s="19">
        <v>-0.5</v>
      </c>
    </row>
    <row r="6" spans="2:43">
      <c r="B6">
        <f t="shared" si="0"/>
        <v>1984</v>
      </c>
      <c r="C6">
        <f t="shared" si="1"/>
        <v>8</v>
      </c>
      <c r="D6" s="7">
        <v>30916</v>
      </c>
      <c r="E6" s="6">
        <v>30909</v>
      </c>
      <c r="F6" s="4">
        <v>1</v>
      </c>
      <c r="G6" s="4">
        <v>0</v>
      </c>
      <c r="H6" s="10" t="e">
        <v>#N/A</v>
      </c>
      <c r="I6" s="10" t="e">
        <v>#N/A</v>
      </c>
      <c r="J6" s="12">
        <v>82184</v>
      </c>
      <c r="K6" s="17">
        <v>30915</v>
      </c>
      <c r="L6" s="17">
        <v>30926</v>
      </c>
      <c r="M6" s="30">
        <v>30909</v>
      </c>
      <c r="N6" s="17">
        <v>30926</v>
      </c>
      <c r="O6" s="14">
        <v>-6.25E-2</v>
      </c>
      <c r="P6" s="18">
        <v>11.5625</v>
      </c>
      <c r="Q6" s="20">
        <v>3.2</v>
      </c>
      <c r="R6" s="20">
        <v>3.3</v>
      </c>
      <c r="S6" s="20">
        <v>3.9</v>
      </c>
      <c r="T6" s="20">
        <v>4.5</v>
      </c>
      <c r="U6" s="20">
        <v>4.2</v>
      </c>
      <c r="V6" s="19">
        <v>0.4</v>
      </c>
      <c r="W6" s="19">
        <v>-0.8</v>
      </c>
      <c r="X6" s="19">
        <v>-0.6</v>
      </c>
      <c r="Y6" s="19">
        <v>-0.4</v>
      </c>
      <c r="Z6" s="20">
        <v>7.5</v>
      </c>
      <c r="AA6" s="20">
        <v>5</v>
      </c>
      <c r="AB6" s="20">
        <v>4</v>
      </c>
      <c r="AC6" s="20">
        <v>3.4</v>
      </c>
      <c r="AD6" s="20">
        <v>3.1</v>
      </c>
      <c r="AE6" s="19">
        <v>0.8</v>
      </c>
      <c r="AF6" s="19">
        <v>-0.3</v>
      </c>
      <c r="AG6" s="19">
        <v>0.5</v>
      </c>
      <c r="AH6" s="19">
        <v>0.4</v>
      </c>
      <c r="AI6" s="15">
        <v>7.5</v>
      </c>
      <c r="AJ6" s="15">
        <v>7.2</v>
      </c>
      <c r="AK6" s="15">
        <v>6.9</v>
      </c>
      <c r="AL6" s="15">
        <v>6.8</v>
      </c>
      <c r="AM6" s="15">
        <v>6.7</v>
      </c>
      <c r="AN6" s="19">
        <v>0</v>
      </c>
      <c r="AO6" s="19">
        <v>0.3</v>
      </c>
      <c r="AP6" s="19">
        <v>0.2</v>
      </c>
      <c r="AQ6" s="19">
        <v>0.2</v>
      </c>
    </row>
    <row r="7" spans="2:43">
      <c r="B7">
        <f t="shared" si="0"/>
        <v>1984</v>
      </c>
      <c r="C7">
        <f t="shared" si="1"/>
        <v>10</v>
      </c>
      <c r="D7" s="7">
        <v>30958</v>
      </c>
      <c r="E7" s="6">
        <v>30951</v>
      </c>
      <c r="F7" s="4">
        <v>1</v>
      </c>
      <c r="G7" s="4">
        <v>0</v>
      </c>
      <c r="H7" s="10" t="e">
        <v>#N/A</v>
      </c>
      <c r="I7" s="10" t="e">
        <v>#N/A</v>
      </c>
      <c r="J7" s="12">
        <v>100284</v>
      </c>
      <c r="K7" s="17">
        <v>30957</v>
      </c>
      <c r="L7" s="17">
        <v>31017</v>
      </c>
      <c r="M7" s="30">
        <v>30951</v>
      </c>
      <c r="N7" s="17">
        <v>30926</v>
      </c>
      <c r="O7" s="14">
        <v>-0.375</v>
      </c>
      <c r="P7" s="18">
        <v>11.25</v>
      </c>
      <c r="Q7" s="20">
        <v>3.3</v>
      </c>
      <c r="R7" s="20">
        <v>3.4</v>
      </c>
      <c r="S7" s="20">
        <v>4.3</v>
      </c>
      <c r="T7" s="20">
        <v>4.8</v>
      </c>
      <c r="U7" s="20">
        <v>4.0999999999999996</v>
      </c>
      <c r="V7" s="19">
        <v>0.1</v>
      </c>
      <c r="W7" s="19">
        <v>0.1</v>
      </c>
      <c r="X7" s="19">
        <v>0.4</v>
      </c>
      <c r="Y7" s="19">
        <v>0.3</v>
      </c>
      <c r="Z7" s="20">
        <v>7.1</v>
      </c>
      <c r="AA7" s="20">
        <v>2.7</v>
      </c>
      <c r="AB7" s="20">
        <v>4.3</v>
      </c>
      <c r="AC7" s="20">
        <v>3.2</v>
      </c>
      <c r="AD7" s="20">
        <v>2.9</v>
      </c>
      <c r="AE7" s="19">
        <v>-0.4</v>
      </c>
      <c r="AF7" s="19">
        <v>-2.2999999999999998</v>
      </c>
      <c r="AG7" s="19">
        <v>0.3</v>
      </c>
      <c r="AH7" s="19">
        <v>-0.2</v>
      </c>
      <c r="AI7" s="15">
        <v>7.5</v>
      </c>
      <c r="AJ7" s="15">
        <v>7.5</v>
      </c>
      <c r="AK7" s="15">
        <v>7.2</v>
      </c>
      <c r="AL7" s="15">
        <v>7</v>
      </c>
      <c r="AM7" s="15">
        <v>6.9</v>
      </c>
      <c r="AN7" s="19">
        <v>0</v>
      </c>
      <c r="AO7" s="19">
        <v>0.3</v>
      </c>
      <c r="AP7" s="19">
        <v>0.3</v>
      </c>
      <c r="AQ7" s="19">
        <v>0.2</v>
      </c>
    </row>
    <row r="8" spans="2:43">
      <c r="B8">
        <f t="shared" si="0"/>
        <v>1984</v>
      </c>
      <c r="C8">
        <f t="shared" si="1"/>
        <v>11</v>
      </c>
      <c r="D8" s="7">
        <v>30994</v>
      </c>
      <c r="E8" s="6">
        <v>30986</v>
      </c>
      <c r="F8" s="4">
        <v>1</v>
      </c>
      <c r="G8" s="4">
        <v>0</v>
      </c>
      <c r="H8" s="10" t="e">
        <v>#N/A</v>
      </c>
      <c r="I8" s="10" t="e">
        <v>#N/A</v>
      </c>
      <c r="J8" s="12">
        <v>110784</v>
      </c>
      <c r="K8" s="17">
        <v>30993</v>
      </c>
      <c r="L8" s="17">
        <v>31017</v>
      </c>
      <c r="M8" s="30">
        <v>30986</v>
      </c>
      <c r="N8" s="17">
        <v>31017</v>
      </c>
      <c r="O8" s="14">
        <v>-0.75</v>
      </c>
      <c r="P8" s="18">
        <v>10</v>
      </c>
      <c r="Q8" s="20">
        <v>3.6</v>
      </c>
      <c r="R8" s="20">
        <v>3.8</v>
      </c>
      <c r="S8" s="20">
        <v>4.5999999999999996</v>
      </c>
      <c r="T8" s="20">
        <v>3.9</v>
      </c>
      <c r="U8" s="20">
        <v>4.0999999999999996</v>
      </c>
      <c r="V8" s="19">
        <v>0.2</v>
      </c>
      <c r="W8" s="19">
        <v>-0.5</v>
      </c>
      <c r="X8" s="19">
        <v>-0.2</v>
      </c>
      <c r="Y8" s="19">
        <v>-0.2</v>
      </c>
      <c r="Z8" s="20">
        <v>2.7</v>
      </c>
      <c r="AA8" s="20">
        <v>3.4</v>
      </c>
      <c r="AB8" s="20">
        <v>3.4</v>
      </c>
      <c r="AC8" s="20">
        <v>3.3</v>
      </c>
      <c r="AD8" s="20">
        <v>3.1</v>
      </c>
      <c r="AE8" s="19">
        <v>0</v>
      </c>
      <c r="AF8" s="19">
        <v>-0.9</v>
      </c>
      <c r="AG8" s="19">
        <v>0.2</v>
      </c>
      <c r="AH8" s="19">
        <v>0.4</v>
      </c>
      <c r="AI8" s="15">
        <v>7.5</v>
      </c>
      <c r="AJ8" s="15">
        <v>7.3</v>
      </c>
      <c r="AK8" s="15">
        <v>7.1</v>
      </c>
      <c r="AL8" s="15">
        <v>7</v>
      </c>
      <c r="AM8" s="15">
        <v>6.9</v>
      </c>
      <c r="AN8" s="19">
        <v>0</v>
      </c>
      <c r="AO8" s="19">
        <v>0.1</v>
      </c>
      <c r="AP8" s="19">
        <v>0.1</v>
      </c>
      <c r="AQ8" s="19">
        <v>0.1</v>
      </c>
    </row>
    <row r="9" spans="2:43">
      <c r="B9">
        <f t="shared" si="0"/>
        <v>1984</v>
      </c>
      <c r="C9">
        <f t="shared" si="1"/>
        <v>11</v>
      </c>
      <c r="D9" s="7">
        <v>31007</v>
      </c>
      <c r="E9" s="67">
        <f>E8</f>
        <v>30986</v>
      </c>
      <c r="F9" s="4">
        <v>0</v>
      </c>
      <c r="G9" s="4">
        <v>0</v>
      </c>
      <c r="H9" s="10" t="e">
        <v>#N/A</v>
      </c>
      <c r="I9" s="10" t="e">
        <v>#N/A</v>
      </c>
      <c r="J9" s="12" t="e">
        <f>NA()</f>
        <v>#N/A</v>
      </c>
      <c r="K9" s="17" t="e">
        <v>#N/A</v>
      </c>
      <c r="L9" s="17" t="e">
        <v>#N/A</v>
      </c>
      <c r="M9" s="30" t="e">
        <v>#N/A</v>
      </c>
      <c r="N9" s="17" t="e">
        <v>#N/A</v>
      </c>
      <c r="O9" s="14" t="e">
        <v>#N/A</v>
      </c>
      <c r="P9" s="18" t="e">
        <v>#N/A</v>
      </c>
      <c r="Q9" s="68">
        <f>Q8</f>
        <v>3.6</v>
      </c>
      <c r="R9" s="68">
        <f t="shared" ref="R9:U9" si="2">R8</f>
        <v>3.8</v>
      </c>
      <c r="S9" s="68">
        <f t="shared" si="2"/>
        <v>4.5999999999999996</v>
      </c>
      <c r="T9" s="68">
        <f t="shared" si="2"/>
        <v>3.9</v>
      </c>
      <c r="U9" s="68">
        <f t="shared" si="2"/>
        <v>4.0999999999999996</v>
      </c>
      <c r="V9" s="69">
        <v>0</v>
      </c>
      <c r="W9" s="69">
        <v>0</v>
      </c>
      <c r="X9" s="69">
        <v>0</v>
      </c>
      <c r="Y9" s="69">
        <v>0</v>
      </c>
      <c r="Z9" s="68">
        <f>Z8</f>
        <v>2.7</v>
      </c>
      <c r="AA9" s="68">
        <f t="shared" ref="AA9" si="3">AA8</f>
        <v>3.4</v>
      </c>
      <c r="AB9" s="68">
        <f t="shared" ref="AB9" si="4">AB8</f>
        <v>3.4</v>
      </c>
      <c r="AC9" s="68">
        <f t="shared" ref="AC9" si="5">AC8</f>
        <v>3.3</v>
      </c>
      <c r="AD9" s="68">
        <f t="shared" ref="AD9" si="6">AD8</f>
        <v>3.1</v>
      </c>
      <c r="AE9" s="69">
        <v>0</v>
      </c>
      <c r="AF9" s="69">
        <v>0</v>
      </c>
      <c r="AG9" s="69">
        <v>0</v>
      </c>
      <c r="AH9" s="69">
        <v>0</v>
      </c>
      <c r="AI9" s="68">
        <f>AI8</f>
        <v>7.5</v>
      </c>
      <c r="AJ9" s="68">
        <f t="shared" ref="AJ9" si="7">AJ8</f>
        <v>7.3</v>
      </c>
      <c r="AK9" s="68">
        <f t="shared" ref="AK9" si="8">AK8</f>
        <v>7.1</v>
      </c>
      <c r="AL9" s="68">
        <f t="shared" ref="AL9" si="9">AL8</f>
        <v>7</v>
      </c>
      <c r="AM9" s="68">
        <f t="shared" ref="AM9" si="10">AM8</f>
        <v>6.9</v>
      </c>
      <c r="AN9" s="69">
        <v>0</v>
      </c>
      <c r="AO9" s="69">
        <v>0</v>
      </c>
      <c r="AP9" s="69">
        <v>0</v>
      </c>
      <c r="AQ9" s="69">
        <v>0</v>
      </c>
    </row>
    <row r="10" spans="2:43">
      <c r="B10">
        <f t="shared" si="0"/>
        <v>1984</v>
      </c>
      <c r="C10">
        <f t="shared" si="1"/>
        <v>12</v>
      </c>
      <c r="D10" s="7">
        <v>31035</v>
      </c>
      <c r="E10" s="6">
        <v>31028</v>
      </c>
      <c r="F10" s="4">
        <v>1</v>
      </c>
      <c r="G10" s="4">
        <v>0</v>
      </c>
      <c r="H10" s="10" t="e">
        <v>#N/A</v>
      </c>
      <c r="I10" s="10" t="e">
        <v>#N/A</v>
      </c>
      <c r="J10" s="12">
        <v>121884</v>
      </c>
      <c r="K10" s="17">
        <v>31034</v>
      </c>
      <c r="L10" s="17">
        <v>31017</v>
      </c>
      <c r="M10" s="30">
        <v>31028</v>
      </c>
      <c r="N10" s="17">
        <v>31017</v>
      </c>
      <c r="O10" s="14">
        <v>-0.625</v>
      </c>
      <c r="P10" s="18">
        <v>8.75</v>
      </c>
      <c r="Q10" s="20">
        <v>3.7</v>
      </c>
      <c r="R10" s="20">
        <v>4.0999999999999996</v>
      </c>
      <c r="S10" s="20">
        <v>4.5</v>
      </c>
      <c r="T10" s="20">
        <v>3.6</v>
      </c>
      <c r="U10" s="20">
        <v>3.7</v>
      </c>
      <c r="V10" s="19">
        <v>0.1</v>
      </c>
      <c r="W10" s="19">
        <v>0.3</v>
      </c>
      <c r="X10" s="19">
        <v>-0.1</v>
      </c>
      <c r="Y10" s="19">
        <v>-0.3</v>
      </c>
      <c r="Z10" s="20">
        <v>1.9</v>
      </c>
      <c r="AA10" s="20">
        <v>1.3</v>
      </c>
      <c r="AB10" s="20">
        <v>2.4</v>
      </c>
      <c r="AC10" s="20">
        <v>3.2</v>
      </c>
      <c r="AD10" s="20">
        <v>3.2</v>
      </c>
      <c r="AE10" s="19">
        <v>-0.8</v>
      </c>
      <c r="AF10" s="19">
        <v>-2.1</v>
      </c>
      <c r="AG10" s="19">
        <v>-1</v>
      </c>
      <c r="AH10" s="19">
        <v>-0.1</v>
      </c>
      <c r="AI10" s="15">
        <v>7.5</v>
      </c>
      <c r="AJ10" s="15">
        <v>7.3</v>
      </c>
      <c r="AK10" s="15">
        <v>7.2</v>
      </c>
      <c r="AL10" s="15">
        <v>7.1</v>
      </c>
      <c r="AM10" s="15">
        <v>7.1</v>
      </c>
      <c r="AN10" s="19">
        <v>0</v>
      </c>
      <c r="AO10" s="19">
        <v>0</v>
      </c>
      <c r="AP10" s="19">
        <v>0.1</v>
      </c>
      <c r="AQ10" s="19">
        <v>0.1</v>
      </c>
    </row>
    <row r="11" spans="2:43">
      <c r="B11">
        <f t="shared" si="0"/>
        <v>1984</v>
      </c>
      <c r="C11">
        <f t="shared" si="1"/>
        <v>12</v>
      </c>
      <c r="D11" s="7">
        <v>31037</v>
      </c>
      <c r="E11" s="67">
        <f>E10</f>
        <v>31028</v>
      </c>
      <c r="F11" s="4">
        <v>0</v>
      </c>
      <c r="G11" s="4">
        <v>0</v>
      </c>
      <c r="H11" s="10" t="e">
        <v>#N/A</v>
      </c>
      <c r="I11" s="10" t="e">
        <v>#N/A</v>
      </c>
      <c r="J11" s="12" t="e">
        <f>NA()</f>
        <v>#N/A</v>
      </c>
      <c r="K11" s="17" t="e">
        <v>#N/A</v>
      </c>
      <c r="L11" s="17" t="e">
        <v>#N/A</v>
      </c>
      <c r="M11" s="30" t="e">
        <v>#N/A</v>
      </c>
      <c r="N11" s="17" t="e">
        <v>#N/A</v>
      </c>
      <c r="O11" s="14" t="e">
        <v>#N/A</v>
      </c>
      <c r="P11" s="18" t="e">
        <v>#N/A</v>
      </c>
      <c r="Q11" s="68">
        <f>Q10</f>
        <v>3.7</v>
      </c>
      <c r="R11" s="68">
        <f t="shared" ref="R11" si="11">R10</f>
        <v>4.0999999999999996</v>
      </c>
      <c r="S11" s="68">
        <f t="shared" ref="S11" si="12">S10</f>
        <v>4.5</v>
      </c>
      <c r="T11" s="68">
        <f t="shared" ref="T11" si="13">T10</f>
        <v>3.6</v>
      </c>
      <c r="U11" s="68">
        <f t="shared" ref="U11" si="14">U10</f>
        <v>3.7</v>
      </c>
      <c r="V11" s="69">
        <v>0</v>
      </c>
      <c r="W11" s="69">
        <v>0</v>
      </c>
      <c r="X11" s="69">
        <v>0</v>
      </c>
      <c r="Y11" s="69">
        <v>0</v>
      </c>
      <c r="Z11" s="68">
        <f>Z10</f>
        <v>1.9</v>
      </c>
      <c r="AA11" s="68">
        <f t="shared" ref="AA11" si="15">AA10</f>
        <v>1.3</v>
      </c>
      <c r="AB11" s="68">
        <f t="shared" ref="AB11" si="16">AB10</f>
        <v>2.4</v>
      </c>
      <c r="AC11" s="68">
        <f t="shared" ref="AC11" si="17">AC10</f>
        <v>3.2</v>
      </c>
      <c r="AD11" s="68">
        <f t="shared" ref="AD11" si="18">AD10</f>
        <v>3.2</v>
      </c>
      <c r="AE11" s="69">
        <v>0</v>
      </c>
      <c r="AF11" s="69">
        <v>0</v>
      </c>
      <c r="AG11" s="69">
        <v>0</v>
      </c>
      <c r="AH11" s="69">
        <v>0</v>
      </c>
      <c r="AI11" s="68">
        <f>AI10</f>
        <v>7.5</v>
      </c>
      <c r="AJ11" s="68">
        <f t="shared" ref="AJ11" si="19">AJ10</f>
        <v>7.3</v>
      </c>
      <c r="AK11" s="68">
        <f t="shared" ref="AK11" si="20">AK10</f>
        <v>7.2</v>
      </c>
      <c r="AL11" s="68">
        <f t="shared" ref="AL11" si="21">AL10</f>
        <v>7.1</v>
      </c>
      <c r="AM11" s="68">
        <f t="shared" ref="AM11" si="22">AM10</f>
        <v>7.1</v>
      </c>
      <c r="AN11" s="69">
        <v>0</v>
      </c>
      <c r="AO11" s="69">
        <v>0</v>
      </c>
      <c r="AP11" s="69">
        <v>0</v>
      </c>
      <c r="AQ11" s="69">
        <v>0</v>
      </c>
    </row>
    <row r="12" spans="2:43">
      <c r="B12">
        <f t="shared" si="0"/>
        <v>1985</v>
      </c>
      <c r="C12">
        <f t="shared" si="1"/>
        <v>2</v>
      </c>
      <c r="D12" s="7">
        <v>31092</v>
      </c>
      <c r="E12" s="6">
        <v>31084</v>
      </c>
      <c r="F12" s="4">
        <v>1</v>
      </c>
      <c r="G12" s="4">
        <v>0</v>
      </c>
      <c r="H12" s="10" t="e">
        <v>#N/A</v>
      </c>
      <c r="I12" s="10" t="e">
        <v>#N/A</v>
      </c>
      <c r="J12" s="12">
        <v>21385</v>
      </c>
      <c r="K12" s="17">
        <v>31091</v>
      </c>
      <c r="L12" s="17">
        <v>31107</v>
      </c>
      <c r="M12" s="30">
        <v>31084</v>
      </c>
      <c r="N12" s="17">
        <v>31107</v>
      </c>
      <c r="O12" s="14">
        <v>0</v>
      </c>
      <c r="P12" s="18">
        <v>8.5</v>
      </c>
      <c r="Q12" s="20">
        <v>2.4</v>
      </c>
      <c r="R12" s="20">
        <v>4.2</v>
      </c>
      <c r="S12" s="20">
        <v>3.6</v>
      </c>
      <c r="T12" s="20">
        <v>3.2</v>
      </c>
      <c r="U12" s="20">
        <v>3.2</v>
      </c>
      <c r="V12" s="19">
        <v>-1.7</v>
      </c>
      <c r="W12" s="19">
        <v>-0.3</v>
      </c>
      <c r="X12" s="19">
        <v>0</v>
      </c>
      <c r="Y12" s="19">
        <v>-0.5</v>
      </c>
      <c r="Z12" s="20">
        <v>3.9</v>
      </c>
      <c r="AA12" s="20">
        <v>3.8</v>
      </c>
      <c r="AB12" s="20">
        <v>3.6</v>
      </c>
      <c r="AC12" s="20">
        <v>3.5</v>
      </c>
      <c r="AD12" s="20">
        <v>3.3</v>
      </c>
      <c r="AE12" s="19">
        <v>2.6</v>
      </c>
      <c r="AF12" s="19">
        <v>1.4</v>
      </c>
      <c r="AG12" s="19">
        <v>0.4</v>
      </c>
      <c r="AH12" s="19">
        <v>0.3</v>
      </c>
      <c r="AI12" s="15">
        <v>7.2</v>
      </c>
      <c r="AJ12" s="15">
        <v>7.2</v>
      </c>
      <c r="AK12" s="15">
        <v>6.9</v>
      </c>
      <c r="AL12" s="15">
        <v>6.8</v>
      </c>
      <c r="AM12" s="15">
        <v>6.7</v>
      </c>
      <c r="AN12" s="19">
        <v>-0.1</v>
      </c>
      <c r="AO12" s="19">
        <v>0</v>
      </c>
      <c r="AP12" s="19">
        <v>-0.2</v>
      </c>
      <c r="AQ12" s="19">
        <v>-0.3</v>
      </c>
    </row>
    <row r="13" spans="2:43">
      <c r="B13">
        <f t="shared" si="0"/>
        <v>1985</v>
      </c>
      <c r="C13">
        <f t="shared" si="1"/>
        <v>2</v>
      </c>
      <c r="D13" s="7">
        <v>31099</v>
      </c>
      <c r="E13" s="67">
        <f>E12</f>
        <v>31084</v>
      </c>
      <c r="F13" s="4">
        <v>0</v>
      </c>
      <c r="G13" s="4">
        <v>0</v>
      </c>
      <c r="H13" s="10" t="e">
        <v>#N/A</v>
      </c>
      <c r="I13" s="10" t="e">
        <v>#N/A</v>
      </c>
      <c r="J13" s="12" t="e">
        <f>NA()</f>
        <v>#N/A</v>
      </c>
      <c r="K13" s="17" t="e">
        <v>#N/A</v>
      </c>
      <c r="L13" s="17" t="e">
        <v>#N/A</v>
      </c>
      <c r="M13" s="30" t="e">
        <v>#N/A</v>
      </c>
      <c r="N13" s="17" t="e">
        <v>#N/A</v>
      </c>
      <c r="O13" s="14" t="e">
        <v>#N/A</v>
      </c>
      <c r="P13" s="18" t="e">
        <v>#N/A</v>
      </c>
      <c r="Q13" s="68">
        <f>Q12</f>
        <v>2.4</v>
      </c>
      <c r="R13" s="68">
        <f t="shared" ref="R13" si="23">R12</f>
        <v>4.2</v>
      </c>
      <c r="S13" s="68">
        <f t="shared" ref="S13" si="24">S12</f>
        <v>3.6</v>
      </c>
      <c r="T13" s="68">
        <f t="shared" ref="T13" si="25">T12</f>
        <v>3.2</v>
      </c>
      <c r="U13" s="68">
        <f t="shared" ref="U13" si="26">U12</f>
        <v>3.2</v>
      </c>
      <c r="V13" s="69">
        <v>0</v>
      </c>
      <c r="W13" s="69">
        <v>0</v>
      </c>
      <c r="X13" s="69">
        <v>0</v>
      </c>
      <c r="Y13" s="69">
        <v>0</v>
      </c>
      <c r="Z13" s="68">
        <f>Z12</f>
        <v>3.9</v>
      </c>
      <c r="AA13" s="68">
        <f t="shared" ref="AA13" si="27">AA12</f>
        <v>3.8</v>
      </c>
      <c r="AB13" s="68">
        <f t="shared" ref="AB13" si="28">AB12</f>
        <v>3.6</v>
      </c>
      <c r="AC13" s="68">
        <f t="shared" ref="AC13" si="29">AC12</f>
        <v>3.5</v>
      </c>
      <c r="AD13" s="68">
        <f t="shared" ref="AD13" si="30">AD12</f>
        <v>3.3</v>
      </c>
      <c r="AE13" s="69">
        <v>0</v>
      </c>
      <c r="AF13" s="69">
        <v>0</v>
      </c>
      <c r="AG13" s="69">
        <v>0</v>
      </c>
      <c r="AH13" s="69">
        <v>0</v>
      </c>
      <c r="AI13" s="68">
        <f>AI12</f>
        <v>7.2</v>
      </c>
      <c r="AJ13" s="68">
        <f t="shared" ref="AJ13" si="31">AJ12</f>
        <v>7.2</v>
      </c>
      <c r="AK13" s="68">
        <f t="shared" ref="AK13" si="32">AK12</f>
        <v>6.9</v>
      </c>
      <c r="AL13" s="68">
        <f t="shared" ref="AL13" si="33">AL12</f>
        <v>6.8</v>
      </c>
      <c r="AM13" s="68">
        <f t="shared" ref="AM13" si="34">AM12</f>
        <v>6.7</v>
      </c>
      <c r="AN13" s="69">
        <v>0</v>
      </c>
      <c r="AO13" s="69">
        <v>0</v>
      </c>
      <c r="AP13" s="69">
        <v>0</v>
      </c>
      <c r="AQ13" s="69">
        <v>0</v>
      </c>
    </row>
    <row r="14" spans="2:43">
      <c r="B14">
        <f t="shared" si="0"/>
        <v>1985</v>
      </c>
      <c r="C14">
        <f t="shared" si="1"/>
        <v>3</v>
      </c>
      <c r="D14" s="7">
        <v>31133</v>
      </c>
      <c r="E14" s="6">
        <v>31126</v>
      </c>
      <c r="F14" s="4">
        <v>1</v>
      </c>
      <c r="G14" s="4">
        <v>0</v>
      </c>
      <c r="H14" s="10" t="e">
        <v>#N/A</v>
      </c>
      <c r="I14" s="10" t="e">
        <v>#N/A</v>
      </c>
      <c r="J14" s="12">
        <v>32685</v>
      </c>
      <c r="K14" s="17">
        <v>31132</v>
      </c>
      <c r="L14" s="17">
        <v>31107</v>
      </c>
      <c r="M14" s="30">
        <v>31126</v>
      </c>
      <c r="N14" s="17">
        <v>31107</v>
      </c>
      <c r="O14" s="14">
        <v>0</v>
      </c>
      <c r="P14" s="18">
        <v>8.5</v>
      </c>
      <c r="Q14" s="20">
        <v>2.8</v>
      </c>
      <c r="R14" s="20">
        <v>4.2</v>
      </c>
      <c r="S14" s="20">
        <v>2.8</v>
      </c>
      <c r="T14" s="20">
        <v>3.1</v>
      </c>
      <c r="U14" s="20">
        <v>3.3</v>
      </c>
      <c r="V14" s="19">
        <v>0.4</v>
      </c>
      <c r="W14" s="19">
        <v>0</v>
      </c>
      <c r="X14" s="19">
        <v>-0.8</v>
      </c>
      <c r="Y14" s="19">
        <v>-0.1</v>
      </c>
      <c r="Z14" s="20">
        <v>4.9000000000000004</v>
      </c>
      <c r="AA14" s="20">
        <v>3.1</v>
      </c>
      <c r="AB14" s="20">
        <v>3.5</v>
      </c>
      <c r="AC14" s="20">
        <v>3.3</v>
      </c>
      <c r="AD14" s="20">
        <v>3.3</v>
      </c>
      <c r="AE14" s="19">
        <v>1</v>
      </c>
      <c r="AF14" s="19">
        <v>-0.7</v>
      </c>
      <c r="AG14" s="19">
        <v>-0.1</v>
      </c>
      <c r="AH14" s="19">
        <v>-0.2</v>
      </c>
      <c r="AI14" s="15">
        <v>7.2</v>
      </c>
      <c r="AJ14" s="15">
        <v>7.3</v>
      </c>
      <c r="AK14" s="15">
        <v>7.1</v>
      </c>
      <c r="AL14" s="15">
        <v>6.9</v>
      </c>
      <c r="AM14" s="15">
        <v>6.8</v>
      </c>
      <c r="AN14" s="19">
        <v>0</v>
      </c>
      <c r="AO14" s="19">
        <v>0.1</v>
      </c>
      <c r="AP14" s="19">
        <v>0.2</v>
      </c>
      <c r="AQ14" s="19">
        <v>0.1</v>
      </c>
    </row>
    <row r="15" spans="2:43">
      <c r="B15">
        <f t="shared" si="0"/>
        <v>1985</v>
      </c>
      <c r="C15">
        <f t="shared" si="1"/>
        <v>4</v>
      </c>
      <c r="D15" s="7">
        <v>31155</v>
      </c>
      <c r="E15" s="67">
        <f>E14</f>
        <v>31126</v>
      </c>
      <c r="F15" s="4">
        <v>0</v>
      </c>
      <c r="G15" s="4">
        <v>0</v>
      </c>
      <c r="H15" s="10" t="e">
        <v>#N/A</v>
      </c>
      <c r="I15" s="10" t="e">
        <v>#N/A</v>
      </c>
      <c r="J15" s="12" t="e">
        <f>NA()</f>
        <v>#N/A</v>
      </c>
      <c r="K15" s="17" t="e">
        <v>#N/A</v>
      </c>
      <c r="L15" s="17" t="e">
        <v>#N/A</v>
      </c>
      <c r="M15" s="30" t="e">
        <v>#N/A</v>
      </c>
      <c r="N15" s="17" t="e">
        <v>#N/A</v>
      </c>
      <c r="O15" s="14" t="e">
        <v>#N/A</v>
      </c>
      <c r="P15" s="18" t="e">
        <v>#N/A</v>
      </c>
      <c r="Q15" s="68">
        <f>Q14</f>
        <v>2.8</v>
      </c>
      <c r="R15" s="68">
        <f t="shared" ref="R15:R16" si="35">R14</f>
        <v>4.2</v>
      </c>
      <c r="S15" s="68">
        <f t="shared" ref="S15:S16" si="36">S14</f>
        <v>2.8</v>
      </c>
      <c r="T15" s="68">
        <f t="shared" ref="T15:T16" si="37">T14</f>
        <v>3.1</v>
      </c>
      <c r="U15" s="68">
        <f t="shared" ref="U15:U16" si="38">U14</f>
        <v>3.3</v>
      </c>
      <c r="V15" s="69">
        <v>0</v>
      </c>
      <c r="W15" s="69">
        <v>0</v>
      </c>
      <c r="X15" s="69">
        <v>0</v>
      </c>
      <c r="Y15" s="69">
        <v>0</v>
      </c>
      <c r="Z15" s="68">
        <f>Z14</f>
        <v>4.9000000000000004</v>
      </c>
      <c r="AA15" s="68">
        <f t="shared" ref="AA15:AA16" si="39">AA14</f>
        <v>3.1</v>
      </c>
      <c r="AB15" s="68">
        <f t="shared" ref="AB15:AB16" si="40">AB14</f>
        <v>3.5</v>
      </c>
      <c r="AC15" s="68">
        <f t="shared" ref="AC15:AC16" si="41">AC14</f>
        <v>3.3</v>
      </c>
      <c r="AD15" s="68">
        <f t="shared" ref="AD15:AD16" si="42">AD14</f>
        <v>3.3</v>
      </c>
      <c r="AE15" s="69">
        <v>0</v>
      </c>
      <c r="AF15" s="69">
        <v>0</v>
      </c>
      <c r="AG15" s="69">
        <v>0</v>
      </c>
      <c r="AH15" s="69">
        <v>0</v>
      </c>
      <c r="AI15" s="68">
        <f>AI14</f>
        <v>7.2</v>
      </c>
      <c r="AJ15" s="68">
        <f t="shared" ref="AJ15:AJ16" si="43">AJ14</f>
        <v>7.3</v>
      </c>
      <c r="AK15" s="68">
        <f t="shared" ref="AK15:AK16" si="44">AK14</f>
        <v>7.1</v>
      </c>
      <c r="AL15" s="68">
        <f t="shared" ref="AL15:AL16" si="45">AL14</f>
        <v>6.9</v>
      </c>
      <c r="AM15" s="68">
        <f t="shared" ref="AM15:AM16" si="46">AM14</f>
        <v>6.8</v>
      </c>
      <c r="AN15" s="69">
        <v>0</v>
      </c>
      <c r="AO15" s="69">
        <v>0</v>
      </c>
      <c r="AP15" s="69">
        <v>0</v>
      </c>
      <c r="AQ15" s="69">
        <v>0</v>
      </c>
    </row>
    <row r="16" spans="2:43">
      <c r="B16">
        <f t="shared" si="0"/>
        <v>1985</v>
      </c>
      <c r="C16">
        <f t="shared" si="1"/>
        <v>5</v>
      </c>
      <c r="D16" s="7">
        <v>31184</v>
      </c>
      <c r="E16" s="67">
        <f>E15</f>
        <v>31126</v>
      </c>
      <c r="F16" s="4">
        <v>0</v>
      </c>
      <c r="G16" s="4">
        <v>0</v>
      </c>
      <c r="H16" s="10" t="e">
        <v>#N/A</v>
      </c>
      <c r="I16" s="10" t="e">
        <v>#N/A</v>
      </c>
      <c r="J16" s="12" t="e">
        <f>NA()</f>
        <v>#N/A</v>
      </c>
      <c r="K16" s="17" t="e">
        <v>#N/A</v>
      </c>
      <c r="L16" s="17" t="e">
        <v>#N/A</v>
      </c>
      <c r="M16" s="30" t="e">
        <v>#N/A</v>
      </c>
      <c r="N16" s="17" t="e">
        <v>#N/A</v>
      </c>
      <c r="O16" s="14" t="e">
        <v>#N/A</v>
      </c>
      <c r="P16" s="18" t="e">
        <v>#N/A</v>
      </c>
      <c r="Q16" s="68">
        <f>Q15</f>
        <v>2.8</v>
      </c>
      <c r="R16" s="68">
        <f t="shared" si="35"/>
        <v>4.2</v>
      </c>
      <c r="S16" s="68">
        <f t="shared" si="36"/>
        <v>2.8</v>
      </c>
      <c r="T16" s="68">
        <f t="shared" si="37"/>
        <v>3.1</v>
      </c>
      <c r="U16" s="68">
        <f t="shared" si="38"/>
        <v>3.3</v>
      </c>
      <c r="V16" s="69">
        <v>0</v>
      </c>
      <c r="W16" s="69">
        <v>0</v>
      </c>
      <c r="X16" s="69">
        <v>0</v>
      </c>
      <c r="Y16" s="69">
        <v>0</v>
      </c>
      <c r="Z16" s="68">
        <f>Z15</f>
        <v>4.9000000000000004</v>
      </c>
      <c r="AA16" s="68">
        <f t="shared" si="39"/>
        <v>3.1</v>
      </c>
      <c r="AB16" s="68">
        <f t="shared" si="40"/>
        <v>3.5</v>
      </c>
      <c r="AC16" s="68">
        <f t="shared" si="41"/>
        <v>3.3</v>
      </c>
      <c r="AD16" s="68">
        <f t="shared" si="42"/>
        <v>3.3</v>
      </c>
      <c r="AE16" s="69">
        <v>0</v>
      </c>
      <c r="AF16" s="69">
        <v>0</v>
      </c>
      <c r="AG16" s="69">
        <v>0</v>
      </c>
      <c r="AH16" s="69">
        <v>0</v>
      </c>
      <c r="AI16" s="68">
        <f>AI15</f>
        <v>7.2</v>
      </c>
      <c r="AJ16" s="68">
        <f t="shared" si="43"/>
        <v>7.3</v>
      </c>
      <c r="AK16" s="68">
        <f t="shared" si="44"/>
        <v>7.1</v>
      </c>
      <c r="AL16" s="68">
        <f t="shared" si="45"/>
        <v>6.9</v>
      </c>
      <c r="AM16" s="68">
        <f t="shared" si="46"/>
        <v>6.8</v>
      </c>
      <c r="AN16" s="69">
        <v>0</v>
      </c>
      <c r="AO16" s="69">
        <v>0</v>
      </c>
      <c r="AP16" s="69">
        <v>0</v>
      </c>
      <c r="AQ16" s="69">
        <v>0</v>
      </c>
    </row>
    <row r="17" spans="2:43">
      <c r="B17">
        <f t="shared" si="0"/>
        <v>1985</v>
      </c>
      <c r="C17">
        <f t="shared" si="1"/>
        <v>5</v>
      </c>
      <c r="D17" s="7">
        <v>31189</v>
      </c>
      <c r="E17" s="6">
        <v>31182</v>
      </c>
      <c r="F17" s="4">
        <v>1</v>
      </c>
      <c r="G17" s="4">
        <v>0</v>
      </c>
      <c r="H17" s="10" t="e">
        <v>#N/A</v>
      </c>
      <c r="I17" s="10" t="e">
        <v>#N/A</v>
      </c>
      <c r="J17" s="12">
        <v>52185</v>
      </c>
      <c r="K17" s="17">
        <v>31188</v>
      </c>
      <c r="L17" s="17">
        <v>31199</v>
      </c>
      <c r="M17" s="30">
        <v>31182</v>
      </c>
      <c r="N17" s="17">
        <v>31199</v>
      </c>
      <c r="O17" s="14">
        <v>-0.375</v>
      </c>
      <c r="P17" s="18">
        <v>8.125</v>
      </c>
      <c r="Q17" s="20">
        <v>5.3</v>
      </c>
      <c r="R17" s="20">
        <v>2.9</v>
      </c>
      <c r="S17" s="20">
        <v>2.7</v>
      </c>
      <c r="T17" s="20">
        <v>3.1</v>
      </c>
      <c r="U17" s="20">
        <v>3.7</v>
      </c>
      <c r="V17" s="19">
        <v>1.1000000000000001</v>
      </c>
      <c r="W17" s="19">
        <v>0.1</v>
      </c>
      <c r="X17" s="19">
        <v>-0.4</v>
      </c>
      <c r="Y17" s="19">
        <v>-0.2</v>
      </c>
      <c r="Z17" s="20">
        <v>1.3</v>
      </c>
      <c r="AA17" s="20">
        <v>2.2999999999999998</v>
      </c>
      <c r="AB17" s="20">
        <v>3.5</v>
      </c>
      <c r="AC17" s="20">
        <v>3</v>
      </c>
      <c r="AD17" s="20">
        <v>2.6</v>
      </c>
      <c r="AE17" s="19">
        <v>-1.8</v>
      </c>
      <c r="AF17" s="19">
        <v>-1.2</v>
      </c>
      <c r="AG17" s="19">
        <v>0.2</v>
      </c>
      <c r="AH17" s="19">
        <v>-0.3</v>
      </c>
      <c r="AI17" s="15">
        <v>7.3</v>
      </c>
      <c r="AJ17" s="15">
        <v>7.3</v>
      </c>
      <c r="AK17" s="15">
        <v>7.2</v>
      </c>
      <c r="AL17" s="15">
        <v>7.1</v>
      </c>
      <c r="AM17" s="15">
        <v>7</v>
      </c>
      <c r="AN17" s="19">
        <v>0</v>
      </c>
      <c r="AO17" s="19">
        <v>0.2</v>
      </c>
      <c r="AP17" s="19">
        <v>0.3</v>
      </c>
      <c r="AQ17" s="19">
        <v>0.3</v>
      </c>
    </row>
    <row r="18" spans="2:43">
      <c r="B18">
        <f t="shared" si="0"/>
        <v>1985</v>
      </c>
      <c r="C18">
        <f t="shared" si="1"/>
        <v>7</v>
      </c>
      <c r="D18" s="7">
        <v>31239</v>
      </c>
      <c r="E18" s="6">
        <v>31231</v>
      </c>
      <c r="F18" s="4">
        <v>1</v>
      </c>
      <c r="G18" s="4">
        <v>0</v>
      </c>
      <c r="H18" s="10" t="e">
        <v>#N/A</v>
      </c>
      <c r="I18" s="10" t="e">
        <v>#N/A</v>
      </c>
      <c r="J18" s="12">
        <v>71085</v>
      </c>
      <c r="K18" s="17">
        <v>31238</v>
      </c>
      <c r="L18" s="17">
        <v>31291</v>
      </c>
      <c r="M18" s="30">
        <v>31231</v>
      </c>
      <c r="N18" s="17">
        <v>31291</v>
      </c>
      <c r="O18" s="14">
        <v>0</v>
      </c>
      <c r="P18" s="18">
        <v>7.625</v>
      </c>
      <c r="Q18" s="20">
        <v>2.9</v>
      </c>
      <c r="R18" s="20">
        <v>2.8</v>
      </c>
      <c r="S18" s="20">
        <v>3.2</v>
      </c>
      <c r="T18" s="20">
        <v>3.6</v>
      </c>
      <c r="U18" s="20">
        <v>3.6</v>
      </c>
      <c r="V18" s="19">
        <v>0</v>
      </c>
      <c r="W18" s="19">
        <v>0.1</v>
      </c>
      <c r="X18" s="19">
        <v>0.1</v>
      </c>
      <c r="Y18" s="19">
        <v>-0.1</v>
      </c>
      <c r="Z18" s="20">
        <v>2.1</v>
      </c>
      <c r="AA18" s="20">
        <v>3.5</v>
      </c>
      <c r="AB18" s="20">
        <v>3</v>
      </c>
      <c r="AC18" s="20">
        <v>2.7</v>
      </c>
      <c r="AD18" s="20">
        <v>2.2999999999999998</v>
      </c>
      <c r="AE18" s="19">
        <v>-0.2</v>
      </c>
      <c r="AF18" s="19">
        <v>0</v>
      </c>
      <c r="AG18" s="19">
        <v>0</v>
      </c>
      <c r="AH18" s="19">
        <v>0.1</v>
      </c>
      <c r="AI18" s="15">
        <v>7.3</v>
      </c>
      <c r="AJ18" s="15">
        <v>7.2</v>
      </c>
      <c r="AK18" s="15">
        <v>7.1</v>
      </c>
      <c r="AL18" s="15">
        <v>7.1</v>
      </c>
      <c r="AM18" s="15">
        <v>7.1</v>
      </c>
      <c r="AN18" s="19">
        <v>0</v>
      </c>
      <c r="AO18" s="19">
        <v>0</v>
      </c>
      <c r="AP18" s="19">
        <v>0</v>
      </c>
      <c r="AQ18" s="19">
        <v>0.1</v>
      </c>
    </row>
    <row r="19" spans="2:43">
      <c r="B19">
        <f t="shared" si="0"/>
        <v>1985</v>
      </c>
      <c r="C19">
        <f t="shared" si="1"/>
        <v>8</v>
      </c>
      <c r="D19" s="7">
        <v>31260</v>
      </c>
      <c r="E19" s="67">
        <f>E18</f>
        <v>31231</v>
      </c>
      <c r="F19" s="4">
        <v>0</v>
      </c>
      <c r="G19" s="4">
        <v>0</v>
      </c>
      <c r="H19" s="10" t="e">
        <v>#N/A</v>
      </c>
      <c r="I19" s="10" t="e">
        <v>#N/A</v>
      </c>
      <c r="J19" s="12" t="e">
        <f>NA()</f>
        <v>#N/A</v>
      </c>
      <c r="K19" s="17" t="e">
        <v>#N/A</v>
      </c>
      <c r="L19" s="17" t="e">
        <v>#N/A</v>
      </c>
      <c r="M19" s="30" t="e">
        <v>#N/A</v>
      </c>
      <c r="N19" s="17" t="e">
        <v>#N/A</v>
      </c>
      <c r="O19" s="14" t="e">
        <v>#N/A</v>
      </c>
      <c r="P19" s="18" t="e">
        <v>#N/A</v>
      </c>
      <c r="Q19" s="68">
        <f>Q18</f>
        <v>2.9</v>
      </c>
      <c r="R19" s="68">
        <f t="shared" ref="R19" si="47">R18</f>
        <v>2.8</v>
      </c>
      <c r="S19" s="68">
        <f t="shared" ref="S19" si="48">S18</f>
        <v>3.2</v>
      </c>
      <c r="T19" s="68">
        <f t="shared" ref="T19" si="49">T18</f>
        <v>3.6</v>
      </c>
      <c r="U19" s="68">
        <f t="shared" ref="U19" si="50">U18</f>
        <v>3.6</v>
      </c>
      <c r="V19" s="69">
        <v>0</v>
      </c>
      <c r="W19" s="69">
        <v>0</v>
      </c>
      <c r="X19" s="69">
        <v>0</v>
      </c>
      <c r="Y19" s="69">
        <v>0</v>
      </c>
      <c r="Z19" s="68">
        <f>Z18</f>
        <v>2.1</v>
      </c>
      <c r="AA19" s="68">
        <f t="shared" ref="AA19" si="51">AA18</f>
        <v>3.5</v>
      </c>
      <c r="AB19" s="68">
        <f t="shared" ref="AB19" si="52">AB18</f>
        <v>3</v>
      </c>
      <c r="AC19" s="68">
        <f t="shared" ref="AC19" si="53">AC18</f>
        <v>2.7</v>
      </c>
      <c r="AD19" s="68">
        <f t="shared" ref="AD19" si="54">AD18</f>
        <v>2.2999999999999998</v>
      </c>
      <c r="AE19" s="69">
        <v>0</v>
      </c>
      <c r="AF19" s="69">
        <v>0</v>
      </c>
      <c r="AG19" s="69">
        <v>0</v>
      </c>
      <c r="AH19" s="69">
        <v>0</v>
      </c>
      <c r="AI19" s="68">
        <f>AI18</f>
        <v>7.3</v>
      </c>
      <c r="AJ19" s="68">
        <f t="shared" ref="AJ19" si="55">AJ18</f>
        <v>7.2</v>
      </c>
      <c r="AK19" s="68">
        <f t="shared" ref="AK19" si="56">AK18</f>
        <v>7.1</v>
      </c>
      <c r="AL19" s="68">
        <f t="shared" ref="AL19" si="57">AL18</f>
        <v>7.1</v>
      </c>
      <c r="AM19" s="68">
        <f t="shared" ref="AM19" si="58">AM18</f>
        <v>7.1</v>
      </c>
      <c r="AN19" s="69">
        <v>0</v>
      </c>
      <c r="AO19" s="69">
        <v>0</v>
      </c>
      <c r="AP19" s="69">
        <v>0</v>
      </c>
      <c r="AQ19" s="69">
        <v>0</v>
      </c>
    </row>
    <row r="20" spans="2:43">
      <c r="B20">
        <f t="shared" si="0"/>
        <v>1985</v>
      </c>
      <c r="C20">
        <f t="shared" si="1"/>
        <v>8</v>
      </c>
      <c r="D20" s="7">
        <v>31280</v>
      </c>
      <c r="E20" s="6">
        <v>31273</v>
      </c>
      <c r="F20" s="4">
        <v>1</v>
      </c>
      <c r="G20" s="4">
        <v>0</v>
      </c>
      <c r="H20" s="10" t="e">
        <v>#N/A</v>
      </c>
      <c r="I20" s="10" t="e">
        <v>#N/A</v>
      </c>
      <c r="J20" s="12">
        <v>82085</v>
      </c>
      <c r="K20" s="17">
        <v>31279</v>
      </c>
      <c r="L20" s="17">
        <v>31291</v>
      </c>
      <c r="M20" s="30">
        <v>31273</v>
      </c>
      <c r="N20" s="17">
        <v>31291</v>
      </c>
      <c r="O20" s="14">
        <v>0</v>
      </c>
      <c r="P20" s="18">
        <v>7.8125</v>
      </c>
      <c r="Q20" s="20">
        <v>2.8</v>
      </c>
      <c r="R20" s="20">
        <v>2.8</v>
      </c>
      <c r="S20" s="20">
        <v>3.1</v>
      </c>
      <c r="T20" s="20">
        <v>3.7</v>
      </c>
      <c r="U20" s="20">
        <v>3.7</v>
      </c>
      <c r="V20" s="19">
        <v>-0.1</v>
      </c>
      <c r="W20" s="19">
        <v>0</v>
      </c>
      <c r="X20" s="19">
        <v>-0.1</v>
      </c>
      <c r="Y20" s="19">
        <v>0.1</v>
      </c>
      <c r="Z20" s="20">
        <v>1.7</v>
      </c>
      <c r="AA20" s="20">
        <v>3</v>
      </c>
      <c r="AB20" s="20">
        <v>3.2</v>
      </c>
      <c r="AC20" s="20">
        <v>2.5</v>
      </c>
      <c r="AD20" s="20">
        <v>2.5</v>
      </c>
      <c r="AE20" s="19">
        <v>-0.4</v>
      </c>
      <c r="AF20" s="19">
        <v>-0.5</v>
      </c>
      <c r="AG20" s="19">
        <v>0.2</v>
      </c>
      <c r="AH20" s="19">
        <v>-0.2</v>
      </c>
      <c r="AI20" s="15">
        <v>7.3</v>
      </c>
      <c r="AJ20" s="15">
        <v>7.3</v>
      </c>
      <c r="AK20" s="15">
        <v>7.2</v>
      </c>
      <c r="AL20" s="15">
        <v>7.1</v>
      </c>
      <c r="AM20" s="15">
        <v>7.1</v>
      </c>
      <c r="AN20" s="19">
        <v>0</v>
      </c>
      <c r="AO20" s="19">
        <v>0.1</v>
      </c>
      <c r="AP20" s="19">
        <v>0.1</v>
      </c>
      <c r="AQ20" s="19">
        <v>0</v>
      </c>
    </row>
    <row r="21" spans="2:43">
      <c r="B21">
        <f t="shared" si="0"/>
        <v>1985</v>
      </c>
      <c r="C21">
        <f t="shared" si="1"/>
        <v>9</v>
      </c>
      <c r="D21" s="7">
        <v>31296</v>
      </c>
      <c r="E21" s="67">
        <f>E20</f>
        <v>31273</v>
      </c>
      <c r="F21" s="4">
        <v>0</v>
      </c>
      <c r="G21" s="4">
        <v>0</v>
      </c>
      <c r="H21" s="10" t="e">
        <v>#N/A</v>
      </c>
      <c r="I21" s="10" t="e">
        <v>#N/A</v>
      </c>
      <c r="J21" s="12" t="e">
        <f>NA()</f>
        <v>#N/A</v>
      </c>
      <c r="K21" s="17" t="e">
        <v>#N/A</v>
      </c>
      <c r="L21" s="17" t="e">
        <v>#N/A</v>
      </c>
      <c r="M21" s="30" t="e">
        <v>#N/A</v>
      </c>
      <c r="N21" s="17" t="e">
        <v>#N/A</v>
      </c>
      <c r="O21" s="14" t="e">
        <v>#N/A</v>
      </c>
      <c r="P21" s="18" t="e">
        <v>#N/A</v>
      </c>
      <c r="Q21" s="68">
        <f>R20</f>
        <v>2.8</v>
      </c>
      <c r="R21" s="68">
        <f>S20</f>
        <v>3.1</v>
      </c>
      <c r="S21" s="68">
        <f t="shared" ref="S21" si="59">T20</f>
        <v>3.7</v>
      </c>
      <c r="T21" s="68">
        <f>U20</f>
        <v>3.7</v>
      </c>
      <c r="U21" s="70">
        <v>3.8</v>
      </c>
      <c r="V21" s="69">
        <v>0</v>
      </c>
      <c r="W21" s="69">
        <v>0</v>
      </c>
      <c r="X21" s="69">
        <v>0</v>
      </c>
      <c r="Y21" s="69">
        <v>0</v>
      </c>
      <c r="Z21" s="68">
        <f>AA20</f>
        <v>3</v>
      </c>
      <c r="AA21" s="68">
        <f>AB20</f>
        <v>3.2</v>
      </c>
      <c r="AB21" s="68">
        <f t="shared" ref="AB21" si="60">AC20</f>
        <v>2.5</v>
      </c>
      <c r="AC21" s="68">
        <f>AD20</f>
        <v>2.5</v>
      </c>
      <c r="AD21" s="70">
        <v>2.4</v>
      </c>
      <c r="AE21" s="69">
        <v>0</v>
      </c>
      <c r="AF21" s="69">
        <v>0</v>
      </c>
      <c r="AG21" s="69">
        <v>0</v>
      </c>
      <c r="AH21" s="69">
        <v>0</v>
      </c>
      <c r="AI21" s="68">
        <f>AJ20</f>
        <v>7.3</v>
      </c>
      <c r="AJ21" s="68">
        <f>AK20</f>
        <v>7.2</v>
      </c>
      <c r="AK21" s="68">
        <f t="shared" ref="AK21" si="61">AL20</f>
        <v>7.1</v>
      </c>
      <c r="AL21" s="68">
        <f>AM20</f>
        <v>7.1</v>
      </c>
      <c r="AM21" s="70">
        <v>7.1</v>
      </c>
      <c r="AN21" s="69">
        <v>0</v>
      </c>
      <c r="AO21" s="69">
        <v>0</v>
      </c>
      <c r="AP21" s="69">
        <v>0</v>
      </c>
      <c r="AQ21" s="69">
        <v>0</v>
      </c>
    </row>
    <row r="22" spans="2:43">
      <c r="B22">
        <f t="shared" si="0"/>
        <v>1985</v>
      </c>
      <c r="C22">
        <f t="shared" si="1"/>
        <v>10</v>
      </c>
      <c r="D22" s="7">
        <v>31322</v>
      </c>
      <c r="E22" s="6">
        <v>31315</v>
      </c>
      <c r="F22" s="4">
        <v>1</v>
      </c>
      <c r="G22" s="4">
        <v>0</v>
      </c>
      <c r="H22" s="10" t="e">
        <v>#N/A</v>
      </c>
      <c r="I22" s="10" t="e">
        <v>#N/A</v>
      </c>
      <c r="J22" s="12">
        <v>100185</v>
      </c>
      <c r="K22" s="17">
        <v>31321</v>
      </c>
      <c r="L22" s="17">
        <v>31382</v>
      </c>
      <c r="M22" s="30">
        <v>31315</v>
      </c>
      <c r="N22" s="17">
        <v>31291</v>
      </c>
      <c r="O22" s="14">
        <v>0</v>
      </c>
      <c r="P22" s="18">
        <v>7.875</v>
      </c>
      <c r="Q22" s="20">
        <v>2.6</v>
      </c>
      <c r="R22" s="20">
        <v>3.1</v>
      </c>
      <c r="S22" s="20">
        <v>2.7</v>
      </c>
      <c r="T22" s="20">
        <v>3</v>
      </c>
      <c r="U22" s="20">
        <v>4.3</v>
      </c>
      <c r="V22" s="19">
        <v>-0.2</v>
      </c>
      <c r="W22" s="19">
        <v>0.3</v>
      </c>
      <c r="X22" s="19">
        <v>-0.4</v>
      </c>
      <c r="Y22" s="19">
        <v>-0.7</v>
      </c>
      <c r="Z22" s="20">
        <v>1.9</v>
      </c>
      <c r="AA22" s="20">
        <v>3</v>
      </c>
      <c r="AB22" s="20">
        <v>3</v>
      </c>
      <c r="AC22" s="20">
        <v>2.5</v>
      </c>
      <c r="AD22" s="20">
        <v>2.7</v>
      </c>
      <c r="AE22" s="19">
        <v>0.2</v>
      </c>
      <c r="AF22" s="19">
        <v>0</v>
      </c>
      <c r="AG22" s="19">
        <v>-0.2</v>
      </c>
      <c r="AH22" s="19">
        <v>0</v>
      </c>
      <c r="AI22" s="15">
        <v>7.3</v>
      </c>
      <c r="AJ22" s="15">
        <v>7.2</v>
      </c>
      <c r="AK22" s="15">
        <v>7.2</v>
      </c>
      <c r="AL22" s="15">
        <v>7.2</v>
      </c>
      <c r="AM22" s="15">
        <v>7.1</v>
      </c>
      <c r="AN22" s="19">
        <v>0</v>
      </c>
      <c r="AO22" s="19">
        <v>-0.1</v>
      </c>
      <c r="AP22" s="19">
        <v>0</v>
      </c>
      <c r="AQ22" s="19">
        <v>0.1</v>
      </c>
    </row>
    <row r="23" spans="2:43">
      <c r="B23">
        <f t="shared" si="0"/>
        <v>1985</v>
      </c>
      <c r="C23">
        <f t="shared" si="1"/>
        <v>11</v>
      </c>
      <c r="D23" s="7">
        <v>31357</v>
      </c>
      <c r="E23" s="6">
        <v>31350</v>
      </c>
      <c r="F23" s="4">
        <v>1</v>
      </c>
      <c r="G23" s="4">
        <v>0</v>
      </c>
      <c r="H23" s="10" t="e">
        <v>#N/A</v>
      </c>
      <c r="I23" s="10" t="e">
        <v>#N/A</v>
      </c>
      <c r="J23" s="12">
        <v>110585</v>
      </c>
      <c r="K23" s="17">
        <v>31356</v>
      </c>
      <c r="L23" s="17">
        <v>31382</v>
      </c>
      <c r="M23" s="30">
        <v>31350</v>
      </c>
      <c r="N23" s="17">
        <v>31382</v>
      </c>
      <c r="O23" s="14">
        <v>-6.25E-2</v>
      </c>
      <c r="P23" s="18">
        <v>8</v>
      </c>
      <c r="Q23" s="20">
        <v>3.3</v>
      </c>
      <c r="R23" s="20">
        <v>3.3</v>
      </c>
      <c r="S23" s="20">
        <v>3.5</v>
      </c>
      <c r="T23" s="20">
        <v>3.7</v>
      </c>
      <c r="U23" s="20">
        <v>3.7</v>
      </c>
      <c r="V23" s="19">
        <v>0.2</v>
      </c>
      <c r="W23" s="19">
        <v>0.6</v>
      </c>
      <c r="X23" s="19">
        <v>0.5</v>
      </c>
      <c r="Y23" s="19">
        <v>-0.6</v>
      </c>
      <c r="Z23" s="20">
        <v>3.3</v>
      </c>
      <c r="AA23" s="20">
        <v>2.6</v>
      </c>
      <c r="AB23" s="20">
        <v>2.1</v>
      </c>
      <c r="AC23" s="20">
        <v>2.2000000000000002</v>
      </c>
      <c r="AD23" s="20">
        <v>2.4</v>
      </c>
      <c r="AE23" s="19">
        <v>0.3</v>
      </c>
      <c r="AF23" s="19">
        <v>-0.4</v>
      </c>
      <c r="AG23" s="19">
        <v>-0.4</v>
      </c>
      <c r="AH23" s="19">
        <v>-0.5</v>
      </c>
      <c r="AI23" s="15">
        <v>7.2</v>
      </c>
      <c r="AJ23" s="15">
        <v>7.1</v>
      </c>
      <c r="AK23" s="15">
        <v>7.1</v>
      </c>
      <c r="AL23" s="15">
        <v>7.2</v>
      </c>
      <c r="AM23" s="15">
        <v>7.2</v>
      </c>
      <c r="AN23" s="19">
        <v>0</v>
      </c>
      <c r="AO23" s="19">
        <v>-0.1</v>
      </c>
      <c r="AP23" s="19">
        <v>-0.1</v>
      </c>
      <c r="AQ23" s="19">
        <v>0.1</v>
      </c>
    </row>
    <row r="24" spans="2:43">
      <c r="B24">
        <f t="shared" si="0"/>
        <v>1985</v>
      </c>
      <c r="C24">
        <f t="shared" si="1"/>
        <v>12</v>
      </c>
      <c r="D24" s="7">
        <v>31399</v>
      </c>
      <c r="E24" s="6">
        <v>31392</v>
      </c>
      <c r="F24" s="4">
        <v>1</v>
      </c>
      <c r="G24" s="4">
        <v>0</v>
      </c>
      <c r="H24" s="10" t="e">
        <v>#N/A</v>
      </c>
      <c r="I24" s="10" t="e">
        <v>#N/A</v>
      </c>
      <c r="J24" s="12">
        <v>121785</v>
      </c>
      <c r="K24" s="17">
        <v>31398</v>
      </c>
      <c r="L24" s="17">
        <v>31382</v>
      </c>
      <c r="M24" s="30">
        <v>31392</v>
      </c>
      <c r="N24" s="17">
        <v>31382</v>
      </c>
      <c r="O24" s="14">
        <v>-0.1875</v>
      </c>
      <c r="P24" s="18">
        <v>7.9375</v>
      </c>
      <c r="Q24" s="20">
        <v>2.2999999999999998</v>
      </c>
      <c r="R24" s="20">
        <v>3.7</v>
      </c>
      <c r="S24" s="20">
        <v>4</v>
      </c>
      <c r="T24" s="20">
        <v>3.4</v>
      </c>
      <c r="U24" s="20">
        <v>3.5</v>
      </c>
      <c r="V24" s="19">
        <v>-1</v>
      </c>
      <c r="W24" s="19">
        <v>0.4</v>
      </c>
      <c r="X24" s="19">
        <v>0.5</v>
      </c>
      <c r="Y24" s="19">
        <v>-0.3</v>
      </c>
      <c r="Z24" s="20">
        <v>4.3</v>
      </c>
      <c r="AA24" s="20">
        <v>2.6</v>
      </c>
      <c r="AB24" s="20">
        <v>2</v>
      </c>
      <c r="AC24" s="20">
        <v>1.8</v>
      </c>
      <c r="AD24" s="20">
        <v>2.1</v>
      </c>
      <c r="AE24" s="19">
        <v>1</v>
      </c>
      <c r="AF24" s="19">
        <v>0</v>
      </c>
      <c r="AG24" s="19">
        <v>-0.1</v>
      </c>
      <c r="AH24" s="19">
        <v>-0.4</v>
      </c>
      <c r="AI24" s="15">
        <v>7.2</v>
      </c>
      <c r="AJ24" s="15">
        <v>7.1</v>
      </c>
      <c r="AK24" s="15">
        <v>7.1</v>
      </c>
      <c r="AL24" s="15">
        <v>7.2</v>
      </c>
      <c r="AM24" s="15">
        <v>7.2</v>
      </c>
      <c r="AN24" s="19">
        <v>0</v>
      </c>
      <c r="AO24" s="19">
        <v>0</v>
      </c>
      <c r="AP24" s="19">
        <v>0</v>
      </c>
      <c r="AQ24" s="19">
        <v>0</v>
      </c>
    </row>
    <row r="25" spans="2:43">
      <c r="B25">
        <f t="shared" si="0"/>
        <v>1986</v>
      </c>
      <c r="C25">
        <f t="shared" si="1"/>
        <v>2</v>
      </c>
      <c r="D25" s="7">
        <v>31456</v>
      </c>
      <c r="E25" s="6">
        <v>31448</v>
      </c>
      <c r="F25" s="4">
        <v>1</v>
      </c>
      <c r="G25" s="4">
        <v>0</v>
      </c>
      <c r="H25" s="10" t="e">
        <v>#N/A</v>
      </c>
      <c r="I25" s="10" t="e">
        <v>#N/A</v>
      </c>
      <c r="J25" s="12">
        <v>21286</v>
      </c>
      <c r="K25" s="17">
        <v>31455</v>
      </c>
      <c r="L25" s="17">
        <v>31472</v>
      </c>
      <c r="M25" s="30">
        <v>31448</v>
      </c>
      <c r="N25" s="17">
        <v>31472</v>
      </c>
      <c r="O25" s="14">
        <v>0</v>
      </c>
      <c r="P25" s="18">
        <v>7.8125</v>
      </c>
      <c r="Q25" s="20">
        <v>3.3</v>
      </c>
      <c r="R25" s="20">
        <v>4</v>
      </c>
      <c r="S25" s="20">
        <v>3.4</v>
      </c>
      <c r="T25" s="20">
        <v>3</v>
      </c>
      <c r="U25" s="20">
        <v>3.1</v>
      </c>
      <c r="V25" s="19">
        <v>-0.4</v>
      </c>
      <c r="W25" s="19">
        <v>0</v>
      </c>
      <c r="X25" s="19">
        <v>0</v>
      </c>
      <c r="Y25" s="19">
        <v>-0.5</v>
      </c>
      <c r="Z25" s="20">
        <v>2.4</v>
      </c>
      <c r="AA25" s="20">
        <v>3.3</v>
      </c>
      <c r="AB25" s="20">
        <v>2.2999999999999998</v>
      </c>
      <c r="AC25" s="20">
        <v>3.1</v>
      </c>
      <c r="AD25" s="20">
        <v>3.3</v>
      </c>
      <c r="AE25" s="19">
        <v>-0.2</v>
      </c>
      <c r="AF25" s="19">
        <v>1.3</v>
      </c>
      <c r="AG25" s="19">
        <v>0.5</v>
      </c>
      <c r="AH25" s="19">
        <v>1</v>
      </c>
      <c r="AI25" s="15">
        <v>7</v>
      </c>
      <c r="AJ25" s="15">
        <v>6.8</v>
      </c>
      <c r="AK25" s="15">
        <v>6.7</v>
      </c>
      <c r="AL25" s="15">
        <v>6.7</v>
      </c>
      <c r="AM25" s="15">
        <v>6.6</v>
      </c>
      <c r="AN25" s="19">
        <v>-0.1</v>
      </c>
      <c r="AO25" s="19">
        <v>-0.3</v>
      </c>
      <c r="AP25" s="19">
        <v>-0.5</v>
      </c>
      <c r="AQ25" s="19">
        <v>-0.5</v>
      </c>
    </row>
    <row r="26" spans="2:43">
      <c r="B26">
        <f t="shared" si="0"/>
        <v>1986</v>
      </c>
      <c r="C26">
        <f t="shared" si="1"/>
        <v>3</v>
      </c>
      <c r="D26" s="7">
        <v>31478</v>
      </c>
      <c r="E26" s="67">
        <f>E25</f>
        <v>31448</v>
      </c>
      <c r="F26" s="4">
        <v>0</v>
      </c>
      <c r="G26" s="4">
        <v>0</v>
      </c>
      <c r="H26" s="10" t="e">
        <v>#N/A</v>
      </c>
      <c r="I26" s="10" t="e">
        <v>#N/A</v>
      </c>
      <c r="J26" s="12" t="e">
        <f>NA()</f>
        <v>#N/A</v>
      </c>
      <c r="K26" s="17" t="e">
        <v>#N/A</v>
      </c>
      <c r="L26" s="17" t="e">
        <v>#N/A</v>
      </c>
      <c r="M26" s="30" t="e">
        <v>#N/A</v>
      </c>
      <c r="N26" s="17" t="e">
        <v>#N/A</v>
      </c>
      <c r="O26" s="14" t="e">
        <v>#N/A</v>
      </c>
      <c r="P26" s="18" t="e">
        <v>#N/A</v>
      </c>
      <c r="Q26" s="68">
        <f>Q25</f>
        <v>3.3</v>
      </c>
      <c r="R26" s="68">
        <f t="shared" ref="R26" si="62">R25</f>
        <v>4</v>
      </c>
      <c r="S26" s="68">
        <f t="shared" ref="S26" si="63">S25</f>
        <v>3.4</v>
      </c>
      <c r="T26" s="68">
        <f t="shared" ref="T26" si="64">T25</f>
        <v>3</v>
      </c>
      <c r="U26" s="68">
        <f t="shared" ref="U26" si="65">U25</f>
        <v>3.1</v>
      </c>
      <c r="V26" s="69">
        <v>0</v>
      </c>
      <c r="W26" s="69">
        <v>0</v>
      </c>
      <c r="X26" s="69">
        <v>0</v>
      </c>
      <c r="Y26" s="69">
        <v>0</v>
      </c>
      <c r="Z26" s="68">
        <f>Z25</f>
        <v>2.4</v>
      </c>
      <c r="AA26" s="68">
        <f t="shared" ref="AA26" si="66">AA25</f>
        <v>3.3</v>
      </c>
      <c r="AB26" s="68">
        <f t="shared" ref="AB26" si="67">AB25</f>
        <v>2.2999999999999998</v>
      </c>
      <c r="AC26" s="68">
        <f t="shared" ref="AC26" si="68">AC25</f>
        <v>3.1</v>
      </c>
      <c r="AD26" s="68">
        <f t="shared" ref="AD26" si="69">AD25</f>
        <v>3.3</v>
      </c>
      <c r="AE26" s="69">
        <v>0</v>
      </c>
      <c r="AF26" s="69">
        <v>0</v>
      </c>
      <c r="AG26" s="69">
        <v>0</v>
      </c>
      <c r="AH26" s="69">
        <v>0</v>
      </c>
      <c r="AI26" s="68">
        <f>AI25</f>
        <v>7</v>
      </c>
      <c r="AJ26" s="68">
        <f t="shared" ref="AJ26" si="70">AJ25</f>
        <v>6.8</v>
      </c>
      <c r="AK26" s="68">
        <f t="shared" ref="AK26" si="71">AK25</f>
        <v>6.7</v>
      </c>
      <c r="AL26" s="68">
        <f t="shared" ref="AL26" si="72">AL25</f>
        <v>6.7</v>
      </c>
      <c r="AM26" s="68">
        <f t="shared" ref="AM26" si="73">AM25</f>
        <v>6.6</v>
      </c>
      <c r="AN26" s="69">
        <v>0</v>
      </c>
      <c r="AO26" s="69">
        <v>0</v>
      </c>
      <c r="AP26" s="69">
        <v>0</v>
      </c>
      <c r="AQ26" s="69">
        <v>0</v>
      </c>
    </row>
    <row r="27" spans="2:43">
      <c r="B27">
        <f t="shared" si="0"/>
        <v>1986</v>
      </c>
      <c r="C27">
        <f t="shared" si="1"/>
        <v>4</v>
      </c>
      <c r="D27" s="7">
        <v>31504</v>
      </c>
      <c r="E27" s="6">
        <v>31497</v>
      </c>
      <c r="F27" s="4">
        <v>1</v>
      </c>
      <c r="G27" s="4">
        <v>0</v>
      </c>
      <c r="H27" s="10" t="e">
        <v>#N/A</v>
      </c>
      <c r="I27" s="10" t="e">
        <v>#N/A</v>
      </c>
      <c r="J27" s="12">
        <v>40186</v>
      </c>
      <c r="K27" s="17">
        <v>31503</v>
      </c>
      <c r="L27" s="17">
        <v>31564</v>
      </c>
      <c r="M27" s="30">
        <v>31497</v>
      </c>
      <c r="N27" s="17">
        <v>31472</v>
      </c>
      <c r="O27" s="14">
        <v>0</v>
      </c>
      <c r="P27" s="18">
        <v>7.375</v>
      </c>
      <c r="Q27" s="20">
        <v>3.3</v>
      </c>
      <c r="R27" s="20">
        <v>3.3</v>
      </c>
      <c r="S27" s="20">
        <v>2.9</v>
      </c>
      <c r="T27" s="20">
        <v>2.4</v>
      </c>
      <c r="U27" s="20">
        <v>2.9</v>
      </c>
      <c r="V27" s="19">
        <v>0</v>
      </c>
      <c r="W27" s="19">
        <v>-0.7</v>
      </c>
      <c r="X27" s="19">
        <v>-0.5</v>
      </c>
      <c r="Y27" s="19">
        <v>-0.6</v>
      </c>
      <c r="Z27" s="20">
        <v>0.7</v>
      </c>
      <c r="AA27" s="20">
        <v>2.9</v>
      </c>
      <c r="AB27" s="20">
        <v>2.2999999999999998</v>
      </c>
      <c r="AC27" s="20">
        <v>4.4000000000000004</v>
      </c>
      <c r="AD27" s="20">
        <v>4.2</v>
      </c>
      <c r="AE27" s="19">
        <v>-1.7</v>
      </c>
      <c r="AF27" s="19">
        <v>-0.4</v>
      </c>
      <c r="AG27" s="19">
        <v>0</v>
      </c>
      <c r="AH27" s="19">
        <v>1.3</v>
      </c>
      <c r="AI27" s="15">
        <v>7</v>
      </c>
      <c r="AJ27" s="15">
        <v>7</v>
      </c>
      <c r="AK27" s="15">
        <v>7</v>
      </c>
      <c r="AL27" s="15">
        <v>6.8</v>
      </c>
      <c r="AM27" s="15">
        <v>6.7</v>
      </c>
      <c r="AN27" s="19">
        <v>0</v>
      </c>
      <c r="AO27" s="19">
        <v>0.2</v>
      </c>
      <c r="AP27" s="19">
        <v>0.3</v>
      </c>
      <c r="AQ27" s="19">
        <v>0.1</v>
      </c>
    </row>
    <row r="28" spans="2:43">
      <c r="B28">
        <f t="shared" si="0"/>
        <v>1986</v>
      </c>
      <c r="C28">
        <f t="shared" si="1"/>
        <v>4</v>
      </c>
      <c r="D28" s="7">
        <v>31520</v>
      </c>
      <c r="E28" s="67">
        <f>E27</f>
        <v>31497</v>
      </c>
      <c r="F28" s="4">
        <v>0</v>
      </c>
      <c r="G28" s="4">
        <v>0</v>
      </c>
      <c r="H28" s="10" t="e">
        <v>#N/A</v>
      </c>
      <c r="I28" s="10" t="e">
        <v>#N/A</v>
      </c>
      <c r="J28" s="12" t="e">
        <f>NA()</f>
        <v>#N/A</v>
      </c>
      <c r="K28" s="17" t="e">
        <v>#N/A</v>
      </c>
      <c r="L28" s="17" t="e">
        <v>#N/A</v>
      </c>
      <c r="M28" s="30" t="e">
        <v>#N/A</v>
      </c>
      <c r="N28" s="17" t="e">
        <v>#N/A</v>
      </c>
      <c r="O28" s="14" t="e">
        <v>#N/A</v>
      </c>
      <c r="P28" s="18" t="e">
        <v>#N/A</v>
      </c>
      <c r="Q28" s="68">
        <f>Q27</f>
        <v>3.3</v>
      </c>
      <c r="R28" s="68">
        <f t="shared" ref="R28" si="74">R27</f>
        <v>3.3</v>
      </c>
      <c r="S28" s="68">
        <f t="shared" ref="S28" si="75">S27</f>
        <v>2.9</v>
      </c>
      <c r="T28" s="68">
        <f t="shared" ref="T28" si="76">T27</f>
        <v>2.4</v>
      </c>
      <c r="U28" s="68">
        <f t="shared" ref="U28" si="77">U27</f>
        <v>2.9</v>
      </c>
      <c r="V28" s="69">
        <v>0</v>
      </c>
      <c r="W28" s="69">
        <v>0</v>
      </c>
      <c r="X28" s="69">
        <v>0</v>
      </c>
      <c r="Y28" s="69">
        <v>0</v>
      </c>
      <c r="Z28" s="68">
        <f>Z27</f>
        <v>0.7</v>
      </c>
      <c r="AA28" s="68">
        <f t="shared" ref="AA28" si="78">AA27</f>
        <v>2.9</v>
      </c>
      <c r="AB28" s="68">
        <f t="shared" ref="AB28" si="79">AB27</f>
        <v>2.2999999999999998</v>
      </c>
      <c r="AC28" s="68">
        <f t="shared" ref="AC28" si="80">AC27</f>
        <v>4.4000000000000004</v>
      </c>
      <c r="AD28" s="68">
        <f t="shared" ref="AD28" si="81">AD27</f>
        <v>4.2</v>
      </c>
      <c r="AE28" s="69">
        <v>0</v>
      </c>
      <c r="AF28" s="69">
        <v>0</v>
      </c>
      <c r="AG28" s="69">
        <v>0</v>
      </c>
      <c r="AH28" s="69">
        <v>0</v>
      </c>
      <c r="AI28" s="68">
        <f>AI27</f>
        <v>7</v>
      </c>
      <c r="AJ28" s="68">
        <f t="shared" ref="AJ28" si="82">AJ27</f>
        <v>7</v>
      </c>
      <c r="AK28" s="68">
        <f t="shared" ref="AK28" si="83">AK27</f>
        <v>7</v>
      </c>
      <c r="AL28" s="68">
        <f t="shared" ref="AL28" si="84">AL27</f>
        <v>6.8</v>
      </c>
      <c r="AM28" s="68">
        <f t="shared" ref="AM28" si="85">AM27</f>
        <v>6.7</v>
      </c>
      <c r="AN28" s="69">
        <v>0</v>
      </c>
      <c r="AO28" s="69">
        <v>0</v>
      </c>
      <c r="AP28" s="69">
        <v>0</v>
      </c>
      <c r="AQ28" s="69">
        <v>0</v>
      </c>
    </row>
    <row r="29" spans="2:43">
      <c r="B29">
        <f t="shared" si="0"/>
        <v>1986</v>
      </c>
      <c r="C29">
        <f t="shared" si="1"/>
        <v>5</v>
      </c>
      <c r="D29" s="7">
        <v>31553</v>
      </c>
      <c r="E29" s="6">
        <v>31546</v>
      </c>
      <c r="F29" s="4">
        <v>1</v>
      </c>
      <c r="G29" s="4">
        <v>0</v>
      </c>
      <c r="H29" s="10" t="e">
        <v>#N/A</v>
      </c>
      <c r="I29" s="10" t="e">
        <v>#N/A</v>
      </c>
      <c r="J29" s="12">
        <v>52086</v>
      </c>
      <c r="K29" s="17">
        <v>31552</v>
      </c>
      <c r="L29" s="17">
        <v>31564</v>
      </c>
      <c r="M29" s="30">
        <v>31546</v>
      </c>
      <c r="N29" s="17">
        <v>31564</v>
      </c>
      <c r="O29" s="14">
        <v>0</v>
      </c>
      <c r="P29" s="18">
        <v>6.875</v>
      </c>
      <c r="Q29" s="20">
        <v>2.5</v>
      </c>
      <c r="R29" s="20">
        <v>2.1</v>
      </c>
      <c r="S29" s="20">
        <v>2.2000000000000002</v>
      </c>
      <c r="T29" s="20">
        <v>2.8</v>
      </c>
      <c r="U29" s="20">
        <v>3.3</v>
      </c>
      <c r="V29" s="19">
        <v>-0.8</v>
      </c>
      <c r="W29" s="19">
        <v>-0.8</v>
      </c>
      <c r="X29" s="19">
        <v>-0.2</v>
      </c>
      <c r="Y29" s="19">
        <v>-0.1</v>
      </c>
      <c r="Z29" s="20">
        <v>3.2</v>
      </c>
      <c r="AA29" s="20">
        <v>2.1</v>
      </c>
      <c r="AB29" s="20">
        <v>4.4000000000000004</v>
      </c>
      <c r="AC29" s="20">
        <v>4.4000000000000004</v>
      </c>
      <c r="AD29" s="20">
        <v>3.6</v>
      </c>
      <c r="AE29" s="19">
        <v>0.3</v>
      </c>
      <c r="AF29" s="19">
        <v>-0.2</v>
      </c>
      <c r="AG29" s="19">
        <v>0</v>
      </c>
      <c r="AH29" s="19">
        <v>0.2</v>
      </c>
      <c r="AI29" s="15">
        <v>7.1</v>
      </c>
      <c r="AJ29" s="15">
        <v>7.1</v>
      </c>
      <c r="AK29" s="15">
        <v>6.9</v>
      </c>
      <c r="AL29" s="15">
        <v>6.7</v>
      </c>
      <c r="AM29" s="15">
        <v>6.5</v>
      </c>
      <c r="AN29" s="19">
        <v>0.1</v>
      </c>
      <c r="AO29" s="19">
        <v>0.1</v>
      </c>
      <c r="AP29" s="19">
        <v>0.1</v>
      </c>
      <c r="AQ29" s="19">
        <v>0</v>
      </c>
    </row>
    <row r="30" spans="2:43">
      <c r="B30">
        <f t="shared" si="0"/>
        <v>1986</v>
      </c>
      <c r="C30">
        <f t="shared" si="1"/>
        <v>6</v>
      </c>
      <c r="D30" s="7">
        <v>31568</v>
      </c>
      <c r="E30" s="67">
        <f>E29</f>
        <v>31546</v>
      </c>
      <c r="F30" s="4">
        <v>0</v>
      </c>
      <c r="G30" s="4">
        <v>0</v>
      </c>
      <c r="H30" s="10" t="e">
        <v>#N/A</v>
      </c>
      <c r="I30" s="10" t="e">
        <v>#N/A</v>
      </c>
      <c r="J30" s="12" t="e">
        <f>NA()</f>
        <v>#N/A</v>
      </c>
      <c r="K30" s="17" t="e">
        <v>#N/A</v>
      </c>
      <c r="L30" s="17" t="e">
        <v>#N/A</v>
      </c>
      <c r="M30" s="30" t="e">
        <v>#N/A</v>
      </c>
      <c r="N30" s="17" t="e">
        <v>#N/A</v>
      </c>
      <c r="O30" s="14" t="e">
        <v>#N/A</v>
      </c>
      <c r="P30" s="18" t="e">
        <v>#N/A</v>
      </c>
      <c r="Q30" s="68">
        <f>Q29</f>
        <v>2.5</v>
      </c>
      <c r="R30" s="68">
        <f t="shared" ref="R30" si="86">R29</f>
        <v>2.1</v>
      </c>
      <c r="S30" s="68">
        <f t="shared" ref="S30" si="87">S29</f>
        <v>2.2000000000000002</v>
      </c>
      <c r="T30" s="68">
        <f t="shared" ref="T30" si="88">T29</f>
        <v>2.8</v>
      </c>
      <c r="U30" s="68">
        <f t="shared" ref="U30" si="89">U29</f>
        <v>3.3</v>
      </c>
      <c r="V30" s="69">
        <v>0</v>
      </c>
      <c r="W30" s="69">
        <v>0</v>
      </c>
      <c r="X30" s="69">
        <v>0</v>
      </c>
      <c r="Y30" s="69">
        <v>0</v>
      </c>
      <c r="Z30" s="68">
        <f>Z29</f>
        <v>3.2</v>
      </c>
      <c r="AA30" s="68">
        <f t="shared" ref="AA30" si="90">AA29</f>
        <v>2.1</v>
      </c>
      <c r="AB30" s="68">
        <f t="shared" ref="AB30" si="91">AB29</f>
        <v>4.4000000000000004</v>
      </c>
      <c r="AC30" s="68">
        <f t="shared" ref="AC30" si="92">AC29</f>
        <v>4.4000000000000004</v>
      </c>
      <c r="AD30" s="68">
        <f t="shared" ref="AD30" si="93">AD29</f>
        <v>3.6</v>
      </c>
      <c r="AE30" s="69">
        <v>0</v>
      </c>
      <c r="AF30" s="69">
        <v>0</v>
      </c>
      <c r="AG30" s="69">
        <v>0</v>
      </c>
      <c r="AH30" s="69">
        <v>0</v>
      </c>
      <c r="AI30" s="68">
        <f>AI29</f>
        <v>7.1</v>
      </c>
      <c r="AJ30" s="68">
        <f t="shared" ref="AJ30" si="94">AJ29</f>
        <v>7.1</v>
      </c>
      <c r="AK30" s="68">
        <f t="shared" ref="AK30" si="95">AK29</f>
        <v>6.9</v>
      </c>
      <c r="AL30" s="68">
        <f t="shared" ref="AL30" si="96">AL29</f>
        <v>6.7</v>
      </c>
      <c r="AM30" s="68">
        <f t="shared" ref="AM30" si="97">AM29</f>
        <v>6.5</v>
      </c>
      <c r="AN30" s="69">
        <v>0</v>
      </c>
      <c r="AO30" s="69">
        <v>0</v>
      </c>
      <c r="AP30" s="69">
        <v>0</v>
      </c>
      <c r="AQ30" s="69">
        <v>0</v>
      </c>
    </row>
    <row r="31" spans="2:43">
      <c r="B31">
        <f t="shared" si="0"/>
        <v>1986</v>
      </c>
      <c r="C31">
        <f t="shared" si="1"/>
        <v>7</v>
      </c>
      <c r="D31" s="7">
        <v>31603</v>
      </c>
      <c r="E31" s="6">
        <v>31595</v>
      </c>
      <c r="F31" s="4">
        <v>1</v>
      </c>
      <c r="G31" s="4">
        <v>0</v>
      </c>
      <c r="H31" s="10" t="e">
        <v>#N/A</v>
      </c>
      <c r="I31" s="10" t="e">
        <v>#N/A</v>
      </c>
      <c r="J31" s="12">
        <v>70986</v>
      </c>
      <c r="K31" s="17">
        <v>31602</v>
      </c>
      <c r="L31" s="17">
        <v>31656</v>
      </c>
      <c r="M31" s="30">
        <v>31595</v>
      </c>
      <c r="N31" s="17">
        <v>31656</v>
      </c>
      <c r="O31" s="14">
        <v>-0.5</v>
      </c>
      <c r="P31" s="18">
        <v>6.875</v>
      </c>
      <c r="Q31" s="20">
        <v>2.4</v>
      </c>
      <c r="R31" s="20">
        <v>2</v>
      </c>
      <c r="S31" s="20">
        <v>2.2000000000000002</v>
      </c>
      <c r="T31" s="20">
        <v>2.9</v>
      </c>
      <c r="U31" s="20">
        <v>3</v>
      </c>
      <c r="V31" s="19">
        <v>0.3</v>
      </c>
      <c r="W31" s="19">
        <v>-0.2</v>
      </c>
      <c r="X31" s="19">
        <v>-0.6</v>
      </c>
      <c r="Y31" s="19">
        <v>-0.4</v>
      </c>
      <c r="Z31" s="20">
        <v>1.5</v>
      </c>
      <c r="AA31" s="20">
        <v>2.7</v>
      </c>
      <c r="AB31" s="20">
        <v>3.7</v>
      </c>
      <c r="AC31" s="20">
        <v>3.4</v>
      </c>
      <c r="AD31" s="20">
        <v>3.2</v>
      </c>
      <c r="AE31" s="19">
        <v>-0.6</v>
      </c>
      <c r="AF31" s="19">
        <v>-1.7</v>
      </c>
      <c r="AG31" s="19">
        <v>-0.7</v>
      </c>
      <c r="AH31" s="19">
        <v>-0.2</v>
      </c>
      <c r="AI31" s="15">
        <v>7.2</v>
      </c>
      <c r="AJ31" s="15">
        <v>7.1</v>
      </c>
      <c r="AK31" s="15">
        <v>6.9</v>
      </c>
      <c r="AL31" s="15">
        <v>6.8</v>
      </c>
      <c r="AM31" s="15">
        <v>6.7</v>
      </c>
      <c r="AN31" s="19">
        <v>0.1</v>
      </c>
      <c r="AO31" s="19">
        <v>0.2</v>
      </c>
      <c r="AP31" s="19">
        <v>0.2</v>
      </c>
      <c r="AQ31" s="19">
        <v>0.3</v>
      </c>
    </row>
    <row r="32" spans="2:43">
      <c r="B32">
        <f t="shared" si="0"/>
        <v>1986</v>
      </c>
      <c r="C32">
        <f t="shared" si="1"/>
        <v>8</v>
      </c>
      <c r="D32" s="7">
        <v>31638</v>
      </c>
      <c r="E32" s="67">
        <f>E31</f>
        <v>31595</v>
      </c>
      <c r="F32" s="4">
        <v>0</v>
      </c>
      <c r="G32" s="4">
        <v>0</v>
      </c>
      <c r="H32" s="10" t="e">
        <v>#N/A</v>
      </c>
      <c r="I32" s="10" t="e">
        <v>#N/A</v>
      </c>
      <c r="J32" s="12" t="e">
        <f>NA()</f>
        <v>#N/A</v>
      </c>
      <c r="K32" s="17" t="e">
        <v>#N/A</v>
      </c>
      <c r="L32" s="17" t="e">
        <v>#N/A</v>
      </c>
      <c r="M32" s="30" t="e">
        <v>#N/A</v>
      </c>
      <c r="N32" s="17" t="e">
        <v>#N/A</v>
      </c>
      <c r="O32" s="14" t="e">
        <v>#N/A</v>
      </c>
      <c r="P32" s="18" t="e">
        <v>#N/A</v>
      </c>
      <c r="Q32" s="68">
        <f>Q31</f>
        <v>2.4</v>
      </c>
      <c r="R32" s="68">
        <f t="shared" ref="R32" si="98">R31</f>
        <v>2</v>
      </c>
      <c r="S32" s="68">
        <f t="shared" ref="S32" si="99">S31</f>
        <v>2.2000000000000002</v>
      </c>
      <c r="T32" s="68">
        <f t="shared" ref="T32" si="100">T31</f>
        <v>2.9</v>
      </c>
      <c r="U32" s="68">
        <f t="shared" ref="U32" si="101">U31</f>
        <v>3</v>
      </c>
      <c r="V32" s="69">
        <v>0</v>
      </c>
      <c r="W32" s="69">
        <v>0</v>
      </c>
      <c r="X32" s="69">
        <v>0</v>
      </c>
      <c r="Y32" s="69">
        <v>0</v>
      </c>
      <c r="Z32" s="68">
        <f>Z31</f>
        <v>1.5</v>
      </c>
      <c r="AA32" s="68">
        <f t="shared" ref="AA32" si="102">AA31</f>
        <v>2.7</v>
      </c>
      <c r="AB32" s="68">
        <f t="shared" ref="AB32" si="103">AB31</f>
        <v>3.7</v>
      </c>
      <c r="AC32" s="68">
        <f t="shared" ref="AC32" si="104">AC31</f>
        <v>3.4</v>
      </c>
      <c r="AD32" s="68">
        <f t="shared" ref="AD32" si="105">AD31</f>
        <v>3.2</v>
      </c>
      <c r="AE32" s="69">
        <v>0</v>
      </c>
      <c r="AF32" s="69">
        <v>0</v>
      </c>
      <c r="AG32" s="69">
        <v>0</v>
      </c>
      <c r="AH32" s="69">
        <v>0</v>
      </c>
      <c r="AI32" s="68">
        <f>AI31</f>
        <v>7.2</v>
      </c>
      <c r="AJ32" s="68">
        <f t="shared" ref="AJ32" si="106">AJ31</f>
        <v>7.1</v>
      </c>
      <c r="AK32" s="68">
        <f t="shared" ref="AK32" si="107">AK31</f>
        <v>6.9</v>
      </c>
      <c r="AL32" s="68">
        <f t="shared" ref="AL32" si="108">AL31</f>
        <v>6.8</v>
      </c>
      <c r="AM32" s="68">
        <f t="shared" ref="AM32" si="109">AM31</f>
        <v>6.7</v>
      </c>
      <c r="AN32" s="69">
        <v>0</v>
      </c>
      <c r="AO32" s="69">
        <v>0</v>
      </c>
      <c r="AP32" s="69">
        <v>0</v>
      </c>
      <c r="AQ32" s="69">
        <v>0</v>
      </c>
    </row>
    <row r="33" spans="2:43">
      <c r="B33">
        <f t="shared" si="0"/>
        <v>1986</v>
      </c>
      <c r="C33">
        <f t="shared" si="1"/>
        <v>8</v>
      </c>
      <c r="D33" s="7">
        <v>31644</v>
      </c>
      <c r="E33" s="6">
        <v>31637</v>
      </c>
      <c r="F33" s="4">
        <v>1</v>
      </c>
      <c r="G33" s="4">
        <v>0</v>
      </c>
      <c r="H33" s="10" t="e">
        <v>#N/A</v>
      </c>
      <c r="I33" s="10" t="e">
        <v>#N/A</v>
      </c>
      <c r="J33" s="12">
        <v>81986</v>
      </c>
      <c r="K33" s="17">
        <v>31643</v>
      </c>
      <c r="L33" s="17">
        <v>31656</v>
      </c>
      <c r="M33" s="30">
        <v>31637</v>
      </c>
      <c r="N33" s="17">
        <v>31656</v>
      </c>
      <c r="O33" s="14">
        <v>-0.375</v>
      </c>
      <c r="P33" s="18">
        <v>6.3125</v>
      </c>
      <c r="Q33" s="20">
        <v>2.1</v>
      </c>
      <c r="R33" s="20">
        <v>2.5</v>
      </c>
      <c r="S33" s="20">
        <v>2</v>
      </c>
      <c r="T33" s="20">
        <v>2.6</v>
      </c>
      <c r="U33" s="20">
        <v>2.8</v>
      </c>
      <c r="V33" s="19">
        <v>-0.3</v>
      </c>
      <c r="W33" s="19">
        <v>0.5</v>
      </c>
      <c r="X33" s="19">
        <v>-0.2</v>
      </c>
      <c r="Y33" s="19">
        <v>-0.3</v>
      </c>
      <c r="Z33" s="20">
        <v>1.1000000000000001</v>
      </c>
      <c r="AA33" s="20">
        <v>2.5</v>
      </c>
      <c r="AB33" s="20">
        <v>3.6</v>
      </c>
      <c r="AC33" s="20">
        <v>3.3</v>
      </c>
      <c r="AD33" s="20">
        <v>3.2</v>
      </c>
      <c r="AE33" s="19">
        <v>-0.4</v>
      </c>
      <c r="AF33" s="19">
        <v>-0.2</v>
      </c>
      <c r="AG33" s="19">
        <v>-0.1</v>
      </c>
      <c r="AH33" s="19">
        <v>-0.1</v>
      </c>
      <c r="AI33" s="15">
        <v>7.2</v>
      </c>
      <c r="AJ33" s="15">
        <v>7</v>
      </c>
      <c r="AK33" s="15">
        <v>6.9</v>
      </c>
      <c r="AL33" s="15">
        <v>6.8</v>
      </c>
      <c r="AM33" s="15">
        <v>6.7</v>
      </c>
      <c r="AN33" s="19">
        <v>0</v>
      </c>
      <c r="AO33" s="19">
        <v>-0.1</v>
      </c>
      <c r="AP33" s="19">
        <v>0</v>
      </c>
      <c r="AQ33" s="19">
        <v>0</v>
      </c>
    </row>
    <row r="34" spans="2:43">
      <c r="B34">
        <f t="shared" si="0"/>
        <v>1986</v>
      </c>
      <c r="C34">
        <f t="shared" si="1"/>
        <v>9</v>
      </c>
      <c r="D34" s="7">
        <v>31679</v>
      </c>
      <c r="E34" s="6">
        <v>31672</v>
      </c>
      <c r="F34" s="4">
        <v>1</v>
      </c>
      <c r="G34" s="4">
        <v>0</v>
      </c>
      <c r="H34" s="10" t="e">
        <v>#N/A</v>
      </c>
      <c r="I34" s="10" t="e">
        <v>#N/A</v>
      </c>
      <c r="J34" s="12">
        <v>92386</v>
      </c>
      <c r="K34" s="17">
        <v>31678</v>
      </c>
      <c r="L34" s="17">
        <v>31656</v>
      </c>
      <c r="M34" s="30">
        <v>31672</v>
      </c>
      <c r="N34" s="17">
        <v>31656</v>
      </c>
      <c r="O34" s="14">
        <v>0</v>
      </c>
      <c r="P34" s="18">
        <v>5.875</v>
      </c>
      <c r="Q34" s="20">
        <v>2.5</v>
      </c>
      <c r="R34" s="20">
        <v>2</v>
      </c>
      <c r="S34" s="20">
        <v>1.5</v>
      </c>
      <c r="T34" s="20">
        <v>2.8</v>
      </c>
      <c r="U34" s="20">
        <v>2.9</v>
      </c>
      <c r="V34" s="19">
        <v>0.4</v>
      </c>
      <c r="W34" s="19">
        <v>-0.5</v>
      </c>
      <c r="X34" s="19">
        <v>-0.5</v>
      </c>
      <c r="Y34" s="19">
        <v>0.2</v>
      </c>
      <c r="Z34" s="20">
        <v>0.6</v>
      </c>
      <c r="AA34" s="20">
        <v>3</v>
      </c>
      <c r="AB34" s="20">
        <v>3.8</v>
      </c>
      <c r="AC34" s="20">
        <v>2.9</v>
      </c>
      <c r="AD34" s="20">
        <v>3</v>
      </c>
      <c r="AE34" s="19">
        <v>-0.5</v>
      </c>
      <c r="AF34" s="19">
        <v>0.5</v>
      </c>
      <c r="AG34" s="19">
        <v>0.2</v>
      </c>
      <c r="AH34" s="19">
        <v>-0.4</v>
      </c>
      <c r="AI34" s="15">
        <v>7.2</v>
      </c>
      <c r="AJ34" s="15">
        <v>6.9</v>
      </c>
      <c r="AK34" s="15">
        <v>6.8</v>
      </c>
      <c r="AL34" s="15">
        <v>6.7</v>
      </c>
      <c r="AM34" s="15">
        <v>6.6</v>
      </c>
      <c r="AN34" s="19">
        <v>0</v>
      </c>
      <c r="AO34" s="19">
        <v>-0.1</v>
      </c>
      <c r="AP34" s="19">
        <v>-0.1</v>
      </c>
      <c r="AQ34" s="19">
        <v>-0.1</v>
      </c>
    </row>
    <row r="35" spans="2:43">
      <c r="B35">
        <f t="shared" si="0"/>
        <v>1986</v>
      </c>
      <c r="C35">
        <f t="shared" si="1"/>
        <v>11</v>
      </c>
      <c r="D35" s="7">
        <v>31722</v>
      </c>
      <c r="E35" s="6">
        <v>31714</v>
      </c>
      <c r="F35" s="4">
        <v>1</v>
      </c>
      <c r="G35" s="4">
        <v>0</v>
      </c>
      <c r="H35" s="10" t="e">
        <v>#N/A</v>
      </c>
      <c r="I35" s="10" t="e">
        <v>#N/A</v>
      </c>
      <c r="J35" s="12">
        <v>110586</v>
      </c>
      <c r="K35" s="17">
        <v>31721</v>
      </c>
      <c r="L35" s="17">
        <v>31747</v>
      </c>
      <c r="M35" s="30">
        <v>31714</v>
      </c>
      <c r="N35" s="17">
        <v>31747</v>
      </c>
      <c r="O35" s="14">
        <v>0</v>
      </c>
      <c r="P35" s="18">
        <v>5.875</v>
      </c>
      <c r="Q35" s="20">
        <v>3.6</v>
      </c>
      <c r="R35" s="20">
        <v>0.7</v>
      </c>
      <c r="S35" s="20">
        <v>2.9</v>
      </c>
      <c r="T35" s="20">
        <v>3</v>
      </c>
      <c r="U35" s="20">
        <v>2.6</v>
      </c>
      <c r="V35" s="19">
        <v>1.6</v>
      </c>
      <c r="W35" s="19">
        <v>-0.8</v>
      </c>
      <c r="X35" s="19">
        <v>0.1</v>
      </c>
      <c r="Y35" s="19">
        <v>0.1</v>
      </c>
      <c r="Z35" s="20">
        <v>2.4</v>
      </c>
      <c r="AA35" s="20">
        <v>3</v>
      </c>
      <c r="AB35" s="20">
        <v>2.7</v>
      </c>
      <c r="AC35" s="20">
        <v>2.7</v>
      </c>
      <c r="AD35" s="20">
        <v>3</v>
      </c>
      <c r="AE35" s="19">
        <v>-0.6</v>
      </c>
      <c r="AF35" s="19">
        <v>-0.8</v>
      </c>
      <c r="AG35" s="19">
        <v>-0.2</v>
      </c>
      <c r="AH35" s="19">
        <v>-0.3</v>
      </c>
      <c r="AI35" s="15">
        <v>6.9</v>
      </c>
      <c r="AJ35" s="15">
        <v>7</v>
      </c>
      <c r="AK35" s="15">
        <v>6.9</v>
      </c>
      <c r="AL35" s="15">
        <v>6.9</v>
      </c>
      <c r="AM35" s="15">
        <v>6.8</v>
      </c>
      <c r="AN35" s="19">
        <v>0</v>
      </c>
      <c r="AO35" s="19">
        <v>0.2</v>
      </c>
      <c r="AP35" s="19">
        <v>0.2</v>
      </c>
      <c r="AQ35" s="19">
        <v>0.3</v>
      </c>
    </row>
    <row r="36" spans="2:43">
      <c r="B36">
        <f t="shared" si="0"/>
        <v>1986</v>
      </c>
      <c r="C36">
        <f t="shared" si="1"/>
        <v>12</v>
      </c>
      <c r="D36" s="7">
        <v>31763</v>
      </c>
      <c r="E36" s="6">
        <v>31756</v>
      </c>
      <c r="F36" s="4">
        <v>1</v>
      </c>
      <c r="G36" s="4">
        <v>0</v>
      </c>
      <c r="H36" s="10" t="e">
        <v>#N/A</v>
      </c>
      <c r="I36" s="10" t="e">
        <v>#N/A</v>
      </c>
      <c r="J36" s="12">
        <v>121686</v>
      </c>
      <c r="K36" s="17">
        <v>31762</v>
      </c>
      <c r="L36" s="17">
        <v>31747</v>
      </c>
      <c r="M36" s="30">
        <v>31756</v>
      </c>
      <c r="N36" s="17">
        <v>31747</v>
      </c>
      <c r="O36" s="14">
        <v>0</v>
      </c>
      <c r="P36" s="18">
        <v>6</v>
      </c>
      <c r="Q36" s="20">
        <v>3.6</v>
      </c>
      <c r="R36" s="20">
        <v>0.8</v>
      </c>
      <c r="S36" s="20">
        <v>2.8</v>
      </c>
      <c r="T36" s="20">
        <v>2.7</v>
      </c>
      <c r="U36" s="20">
        <v>2.6</v>
      </c>
      <c r="V36" s="19">
        <v>0</v>
      </c>
      <c r="W36" s="19">
        <v>0.1</v>
      </c>
      <c r="X36" s="19">
        <v>-0.1</v>
      </c>
      <c r="Y36" s="19">
        <v>-0.3</v>
      </c>
      <c r="Z36" s="20">
        <v>2.9</v>
      </c>
      <c r="AA36" s="20">
        <v>3.1</v>
      </c>
      <c r="AB36" s="20">
        <v>2.4</v>
      </c>
      <c r="AC36" s="20">
        <v>2.7</v>
      </c>
      <c r="AD36" s="20">
        <v>2.9</v>
      </c>
      <c r="AE36" s="19">
        <v>0.5</v>
      </c>
      <c r="AF36" s="19">
        <v>0.1</v>
      </c>
      <c r="AG36" s="19">
        <v>-0.3</v>
      </c>
      <c r="AH36" s="19">
        <v>0</v>
      </c>
      <c r="AI36" s="15">
        <v>6.9</v>
      </c>
      <c r="AJ36" s="15">
        <v>7</v>
      </c>
      <c r="AK36" s="15">
        <v>6.9</v>
      </c>
      <c r="AL36" s="15">
        <v>6.9</v>
      </c>
      <c r="AM36" s="15">
        <v>6.8</v>
      </c>
      <c r="AN36" s="19">
        <v>0</v>
      </c>
      <c r="AO36" s="19">
        <v>0</v>
      </c>
      <c r="AP36" s="19">
        <v>0</v>
      </c>
      <c r="AQ36" s="19">
        <v>0</v>
      </c>
    </row>
    <row r="37" spans="2:43">
      <c r="B37">
        <f t="shared" si="0"/>
        <v>1987</v>
      </c>
      <c r="C37">
        <f t="shared" si="1"/>
        <v>1</v>
      </c>
      <c r="D37" s="7">
        <v>31792</v>
      </c>
      <c r="E37" s="67">
        <f>E36</f>
        <v>31756</v>
      </c>
      <c r="F37" s="4">
        <v>0</v>
      </c>
      <c r="G37" s="4">
        <v>0</v>
      </c>
      <c r="H37" s="10" t="e">
        <v>#N/A</v>
      </c>
      <c r="I37" s="10" t="e">
        <v>#N/A</v>
      </c>
      <c r="J37" s="12" t="e">
        <f>NA()</f>
        <v>#N/A</v>
      </c>
      <c r="K37" s="17" t="e">
        <v>#N/A</v>
      </c>
      <c r="L37" s="17" t="e">
        <v>#N/A</v>
      </c>
      <c r="M37" s="30" t="e">
        <v>#N/A</v>
      </c>
      <c r="N37" s="17" t="e">
        <v>#N/A</v>
      </c>
      <c r="O37" s="14" t="e">
        <v>#N/A</v>
      </c>
      <c r="P37" s="18" t="e">
        <v>#N/A</v>
      </c>
      <c r="Q37" s="68">
        <f>R36</f>
        <v>0.8</v>
      </c>
      <c r="R37" s="68">
        <f>S36</f>
        <v>2.8</v>
      </c>
      <c r="S37" s="68">
        <f t="shared" ref="S37" si="110">T36</f>
        <v>2.7</v>
      </c>
      <c r="T37" s="68">
        <f>U36</f>
        <v>2.6</v>
      </c>
      <c r="U37" s="70">
        <v>2.6</v>
      </c>
      <c r="V37" s="69">
        <v>0</v>
      </c>
      <c r="W37" s="69">
        <v>0</v>
      </c>
      <c r="X37" s="69">
        <v>0</v>
      </c>
      <c r="Y37" s="69">
        <v>0</v>
      </c>
      <c r="Z37" s="68">
        <f>AA36</f>
        <v>3.1</v>
      </c>
      <c r="AA37" s="68">
        <f>AB36</f>
        <v>2.4</v>
      </c>
      <c r="AB37" s="68">
        <f t="shared" ref="AB37" si="111">AC36</f>
        <v>2.7</v>
      </c>
      <c r="AC37" s="68">
        <f>AD36</f>
        <v>2.9</v>
      </c>
      <c r="AD37" s="70">
        <v>3</v>
      </c>
      <c r="AE37" s="69">
        <v>0</v>
      </c>
      <c r="AF37" s="69">
        <v>0</v>
      </c>
      <c r="AG37" s="69">
        <v>0</v>
      </c>
      <c r="AH37" s="69">
        <v>0</v>
      </c>
      <c r="AI37" s="68">
        <f>AJ36</f>
        <v>7</v>
      </c>
      <c r="AJ37" s="68">
        <f>AK36</f>
        <v>6.9</v>
      </c>
      <c r="AK37" s="68">
        <f t="shared" ref="AK37" si="112">AL36</f>
        <v>6.9</v>
      </c>
      <c r="AL37" s="68">
        <f>AM36</f>
        <v>6.8</v>
      </c>
      <c r="AM37" s="70">
        <v>6.7</v>
      </c>
      <c r="AN37" s="69">
        <v>0</v>
      </c>
      <c r="AO37" s="69">
        <v>0</v>
      </c>
      <c r="AP37" s="69">
        <v>0</v>
      </c>
      <c r="AQ37" s="69">
        <v>0</v>
      </c>
    </row>
    <row r="38" spans="2:43">
      <c r="B38">
        <f t="shared" si="0"/>
        <v>1987</v>
      </c>
      <c r="C38">
        <f t="shared" si="1"/>
        <v>2</v>
      </c>
      <c r="D38" s="7">
        <v>31820</v>
      </c>
      <c r="E38" s="6">
        <v>31812</v>
      </c>
      <c r="F38" s="4">
        <v>1</v>
      </c>
      <c r="G38" s="4">
        <v>0</v>
      </c>
      <c r="H38" s="10" t="e">
        <v>#N/A</v>
      </c>
      <c r="I38" s="10" t="e">
        <v>#N/A</v>
      </c>
      <c r="J38" s="12">
        <v>21287</v>
      </c>
      <c r="K38" s="17">
        <v>31820</v>
      </c>
      <c r="L38" s="17">
        <v>31837</v>
      </c>
      <c r="M38" s="30">
        <v>31812</v>
      </c>
      <c r="N38" s="17">
        <v>31837</v>
      </c>
      <c r="O38" s="14">
        <v>0</v>
      </c>
      <c r="P38" s="18">
        <v>6</v>
      </c>
      <c r="Q38" s="20">
        <v>1</v>
      </c>
      <c r="R38" s="20">
        <v>2.6</v>
      </c>
      <c r="S38" s="20">
        <v>3</v>
      </c>
      <c r="T38" s="20">
        <v>3</v>
      </c>
      <c r="U38" s="20">
        <v>3</v>
      </c>
      <c r="V38" s="19">
        <v>0.2</v>
      </c>
      <c r="W38" s="19">
        <v>-0.2</v>
      </c>
      <c r="X38" s="19">
        <v>0.3</v>
      </c>
      <c r="Y38" s="19">
        <v>0.4</v>
      </c>
      <c r="Z38" s="20">
        <v>1.7</v>
      </c>
      <c r="AA38" s="20">
        <v>2.2000000000000002</v>
      </c>
      <c r="AB38" s="20">
        <v>2.8</v>
      </c>
      <c r="AC38" s="20">
        <v>2.9</v>
      </c>
      <c r="AD38" s="20">
        <v>3</v>
      </c>
      <c r="AE38" s="19">
        <v>-1.4</v>
      </c>
      <c r="AF38" s="19">
        <v>-0.2</v>
      </c>
      <c r="AG38" s="19">
        <v>0.1</v>
      </c>
      <c r="AH38" s="19">
        <v>0</v>
      </c>
      <c r="AI38" s="15">
        <v>6.9</v>
      </c>
      <c r="AJ38" s="15">
        <v>6.7</v>
      </c>
      <c r="AK38" s="15">
        <v>6.7</v>
      </c>
      <c r="AL38" s="15">
        <v>6.6</v>
      </c>
      <c r="AM38" s="15">
        <v>6.6</v>
      </c>
      <c r="AN38" s="19">
        <v>-0.1</v>
      </c>
      <c r="AO38" s="19">
        <v>-0.2</v>
      </c>
      <c r="AP38" s="19">
        <v>-0.2</v>
      </c>
      <c r="AQ38" s="19">
        <v>-0.2</v>
      </c>
    </row>
    <row r="39" spans="2:43">
      <c r="B39">
        <f t="shared" si="0"/>
        <v>1987</v>
      </c>
      <c r="C39">
        <f t="shared" si="1"/>
        <v>4</v>
      </c>
      <c r="D39" s="7">
        <v>31868</v>
      </c>
      <c r="E39" s="6">
        <v>31861</v>
      </c>
      <c r="F39" s="4">
        <v>1</v>
      </c>
      <c r="G39" s="4">
        <v>0</v>
      </c>
      <c r="H39" s="10" t="e">
        <v>#N/A</v>
      </c>
      <c r="I39" s="10" t="e">
        <v>#N/A</v>
      </c>
      <c r="J39" s="12">
        <v>33187</v>
      </c>
      <c r="K39" s="17">
        <v>31867</v>
      </c>
      <c r="L39" s="17">
        <v>31837</v>
      </c>
      <c r="M39" s="30">
        <v>31861</v>
      </c>
      <c r="N39" s="17">
        <v>31837</v>
      </c>
      <c r="O39" s="14">
        <v>0.1875</v>
      </c>
      <c r="P39" s="18">
        <v>6.0625</v>
      </c>
      <c r="Q39" s="20">
        <v>0.7</v>
      </c>
      <c r="R39" s="20">
        <v>2.8</v>
      </c>
      <c r="S39" s="20">
        <v>3</v>
      </c>
      <c r="T39" s="20">
        <v>3</v>
      </c>
      <c r="U39" s="20">
        <v>2.6</v>
      </c>
      <c r="V39" s="19">
        <v>-0.3</v>
      </c>
      <c r="W39" s="19">
        <v>0.2</v>
      </c>
      <c r="X39" s="19">
        <v>0</v>
      </c>
      <c r="Y39" s="19">
        <v>0</v>
      </c>
      <c r="Z39" s="20">
        <v>1.1000000000000001</v>
      </c>
      <c r="AA39" s="20">
        <v>3.2</v>
      </c>
      <c r="AB39" s="20">
        <v>2.6</v>
      </c>
      <c r="AC39" s="20">
        <v>2.6</v>
      </c>
      <c r="AD39" s="20">
        <v>2.8</v>
      </c>
      <c r="AE39" s="19">
        <v>-0.6</v>
      </c>
      <c r="AF39" s="19">
        <v>1</v>
      </c>
      <c r="AG39" s="19">
        <v>-0.2</v>
      </c>
      <c r="AH39" s="19">
        <v>-0.3</v>
      </c>
      <c r="AI39" s="15">
        <v>6.9</v>
      </c>
      <c r="AJ39" s="15">
        <v>6.7</v>
      </c>
      <c r="AK39" s="15">
        <v>6.7</v>
      </c>
      <c r="AL39" s="15">
        <v>6.7</v>
      </c>
      <c r="AM39" s="15">
        <v>6.7</v>
      </c>
      <c r="AN39" s="19">
        <v>0</v>
      </c>
      <c r="AO39" s="19">
        <v>0</v>
      </c>
      <c r="AP39" s="19">
        <v>0</v>
      </c>
      <c r="AQ39" s="19">
        <v>0.1</v>
      </c>
    </row>
    <row r="40" spans="2:43">
      <c r="B40">
        <f t="shared" si="0"/>
        <v>1987</v>
      </c>
      <c r="C40">
        <f t="shared" si="1"/>
        <v>4</v>
      </c>
      <c r="D40" s="7">
        <v>31897</v>
      </c>
      <c r="E40" s="67">
        <f>E39</f>
        <v>31861</v>
      </c>
      <c r="F40" s="4">
        <v>1</v>
      </c>
      <c r="G40" s="4">
        <v>1</v>
      </c>
      <c r="H40" s="10" t="e">
        <v>#N/A</v>
      </c>
      <c r="I40" s="10" t="e">
        <v>#N/A</v>
      </c>
      <c r="J40" s="12" t="e">
        <f>NA()</f>
        <v>#N/A</v>
      </c>
      <c r="K40" s="17" t="e">
        <v>#N/A</v>
      </c>
      <c r="L40" s="17" t="e">
        <v>#N/A</v>
      </c>
      <c r="M40" s="30" t="e">
        <v>#N/A</v>
      </c>
      <c r="N40" s="17" t="e">
        <v>#N/A</v>
      </c>
      <c r="O40" s="14" t="e">
        <v>#N/A</v>
      </c>
      <c r="P40" s="18" t="e">
        <v>#N/A</v>
      </c>
      <c r="Q40" s="68">
        <f>Q39</f>
        <v>0.7</v>
      </c>
      <c r="R40" s="68">
        <f t="shared" ref="R40" si="113">R39</f>
        <v>2.8</v>
      </c>
      <c r="S40" s="68">
        <f t="shared" ref="S40" si="114">S39</f>
        <v>3</v>
      </c>
      <c r="T40" s="68">
        <f t="shared" ref="T40" si="115">T39</f>
        <v>3</v>
      </c>
      <c r="U40" s="68">
        <f t="shared" ref="U40" si="116">U39</f>
        <v>2.6</v>
      </c>
      <c r="V40" s="69">
        <v>0</v>
      </c>
      <c r="W40" s="69">
        <v>0</v>
      </c>
      <c r="X40" s="69">
        <v>0</v>
      </c>
      <c r="Y40" s="69">
        <v>0</v>
      </c>
      <c r="Z40" s="68">
        <f>Z39</f>
        <v>1.1000000000000001</v>
      </c>
      <c r="AA40" s="68">
        <f t="shared" ref="AA40" si="117">AA39</f>
        <v>3.2</v>
      </c>
      <c r="AB40" s="68">
        <f t="shared" ref="AB40" si="118">AB39</f>
        <v>2.6</v>
      </c>
      <c r="AC40" s="68">
        <f t="shared" ref="AC40" si="119">AC39</f>
        <v>2.6</v>
      </c>
      <c r="AD40" s="68">
        <f t="shared" ref="AD40" si="120">AD39</f>
        <v>2.8</v>
      </c>
      <c r="AE40" s="69">
        <v>0</v>
      </c>
      <c r="AF40" s="69">
        <v>0</v>
      </c>
      <c r="AG40" s="69">
        <v>0</v>
      </c>
      <c r="AH40" s="69">
        <v>0</v>
      </c>
      <c r="AI40" s="68">
        <f>AI39</f>
        <v>6.9</v>
      </c>
      <c r="AJ40" s="68">
        <f t="shared" ref="AJ40" si="121">AJ39</f>
        <v>6.7</v>
      </c>
      <c r="AK40" s="68">
        <f t="shared" ref="AK40" si="122">AK39</f>
        <v>6.7</v>
      </c>
      <c r="AL40" s="68">
        <f t="shared" ref="AL40" si="123">AL39</f>
        <v>6.7</v>
      </c>
      <c r="AM40" s="68">
        <f t="shared" ref="AM40" si="124">AM39</f>
        <v>6.7</v>
      </c>
      <c r="AN40" s="69">
        <v>0</v>
      </c>
      <c r="AO40" s="69">
        <v>0</v>
      </c>
      <c r="AP40" s="69">
        <v>0</v>
      </c>
      <c r="AQ40" s="69">
        <v>0</v>
      </c>
    </row>
    <row r="41" spans="2:43">
      <c r="B41">
        <f t="shared" si="0"/>
        <v>1987</v>
      </c>
      <c r="C41">
        <f t="shared" si="1"/>
        <v>5</v>
      </c>
      <c r="D41" s="7">
        <v>31917</v>
      </c>
      <c r="E41" s="6">
        <v>31910</v>
      </c>
      <c r="F41" s="4">
        <v>1</v>
      </c>
      <c r="G41" s="4">
        <v>0</v>
      </c>
      <c r="H41" s="10" t="e">
        <v>#N/A</v>
      </c>
      <c r="I41" s="10" t="e">
        <v>#N/A</v>
      </c>
      <c r="J41" s="12">
        <v>51987</v>
      </c>
      <c r="K41" s="17">
        <v>31916</v>
      </c>
      <c r="L41" s="17">
        <v>31929</v>
      </c>
      <c r="M41" s="30">
        <v>31910</v>
      </c>
      <c r="N41" s="17">
        <v>31929</v>
      </c>
      <c r="O41" s="14">
        <v>0.25</v>
      </c>
      <c r="P41" s="18">
        <v>6.5</v>
      </c>
      <c r="Q41" s="20">
        <v>3.5</v>
      </c>
      <c r="R41" s="20">
        <v>3.6</v>
      </c>
      <c r="S41" s="20">
        <v>3.2</v>
      </c>
      <c r="T41" s="20">
        <v>2.6</v>
      </c>
      <c r="U41" s="20">
        <v>3.7</v>
      </c>
      <c r="V41" s="19">
        <v>0.7</v>
      </c>
      <c r="W41" s="19">
        <v>0.6</v>
      </c>
      <c r="X41" s="19">
        <v>0.2</v>
      </c>
      <c r="Y41" s="19">
        <v>0</v>
      </c>
      <c r="Z41" s="20">
        <v>4.3</v>
      </c>
      <c r="AA41" s="20">
        <v>2.5</v>
      </c>
      <c r="AB41" s="20">
        <v>2.2000000000000002</v>
      </c>
      <c r="AC41" s="20">
        <v>2.8</v>
      </c>
      <c r="AD41" s="20">
        <v>2.6</v>
      </c>
      <c r="AE41" s="19">
        <v>1.1000000000000001</v>
      </c>
      <c r="AF41" s="19">
        <v>-0.1</v>
      </c>
      <c r="AG41" s="19">
        <v>-0.4</v>
      </c>
      <c r="AH41" s="19">
        <v>0</v>
      </c>
      <c r="AI41" s="15">
        <v>6.7</v>
      </c>
      <c r="AJ41" s="15">
        <v>6.4</v>
      </c>
      <c r="AK41" s="15">
        <v>6.4</v>
      </c>
      <c r="AL41" s="15">
        <v>6.4</v>
      </c>
      <c r="AM41" s="15">
        <v>6.3</v>
      </c>
      <c r="AN41" s="19">
        <v>0</v>
      </c>
      <c r="AO41" s="19">
        <v>-0.3</v>
      </c>
      <c r="AP41" s="19">
        <v>-0.3</v>
      </c>
      <c r="AQ41" s="19">
        <v>-0.3</v>
      </c>
    </row>
    <row r="42" spans="2:43">
      <c r="B42">
        <f t="shared" si="0"/>
        <v>1987</v>
      </c>
      <c r="C42">
        <f t="shared" si="1"/>
        <v>7</v>
      </c>
      <c r="D42" s="7">
        <v>31966</v>
      </c>
      <c r="E42" s="6">
        <v>31959</v>
      </c>
      <c r="F42" s="4">
        <v>1</v>
      </c>
      <c r="G42" s="4">
        <v>0</v>
      </c>
      <c r="H42" s="10" t="e">
        <v>#N/A</v>
      </c>
      <c r="I42" s="10" t="e">
        <v>#N/A</v>
      </c>
      <c r="J42" s="12">
        <v>70787</v>
      </c>
      <c r="K42" s="17">
        <v>31965</v>
      </c>
      <c r="L42" s="17">
        <v>32021</v>
      </c>
      <c r="M42" s="30">
        <v>31959</v>
      </c>
      <c r="N42" s="17">
        <v>32021</v>
      </c>
      <c r="O42" s="14">
        <v>0</v>
      </c>
      <c r="P42" s="18">
        <v>6.75</v>
      </c>
      <c r="Q42" s="20">
        <v>3.8</v>
      </c>
      <c r="R42" s="20">
        <v>3.2</v>
      </c>
      <c r="S42" s="20">
        <v>2.8</v>
      </c>
      <c r="T42" s="20">
        <v>3.8</v>
      </c>
      <c r="U42" s="20">
        <v>3.6</v>
      </c>
      <c r="V42" s="19">
        <v>0.2</v>
      </c>
      <c r="W42" s="19">
        <v>0</v>
      </c>
      <c r="X42" s="19">
        <v>0.2</v>
      </c>
      <c r="Y42" s="19">
        <v>0.1</v>
      </c>
      <c r="Z42" s="20">
        <v>6.1</v>
      </c>
      <c r="AA42" s="20">
        <v>2.6</v>
      </c>
      <c r="AB42" s="20">
        <v>2.5</v>
      </c>
      <c r="AC42" s="20">
        <v>2.4</v>
      </c>
      <c r="AD42" s="20">
        <v>2.2999999999999998</v>
      </c>
      <c r="AE42" s="19">
        <v>3.6</v>
      </c>
      <c r="AF42" s="19">
        <v>0.4</v>
      </c>
      <c r="AG42" s="19">
        <v>-0.3</v>
      </c>
      <c r="AH42" s="19">
        <v>-0.2</v>
      </c>
      <c r="AI42" s="15">
        <v>6.3</v>
      </c>
      <c r="AJ42" s="15">
        <v>6.3</v>
      </c>
      <c r="AK42" s="15">
        <v>6.3</v>
      </c>
      <c r="AL42" s="15">
        <v>6.3</v>
      </c>
      <c r="AM42" s="15">
        <v>6.3</v>
      </c>
      <c r="AN42" s="19">
        <v>-0.1</v>
      </c>
      <c r="AO42" s="19">
        <v>-0.1</v>
      </c>
      <c r="AP42" s="19">
        <v>-0.1</v>
      </c>
      <c r="AQ42" s="19">
        <v>0</v>
      </c>
    </row>
    <row r="43" spans="2:43">
      <c r="B43">
        <f t="shared" si="0"/>
        <v>1987</v>
      </c>
      <c r="C43">
        <f t="shared" si="1"/>
        <v>8</v>
      </c>
      <c r="D43" s="7">
        <v>32008</v>
      </c>
      <c r="E43" s="6">
        <v>32001</v>
      </c>
      <c r="F43" s="4">
        <v>1</v>
      </c>
      <c r="G43" s="4">
        <v>0</v>
      </c>
      <c r="H43" s="10" t="e">
        <v>#N/A</v>
      </c>
      <c r="I43" s="10" t="e">
        <v>#N/A</v>
      </c>
      <c r="J43" s="12">
        <v>81887</v>
      </c>
      <c r="K43" s="17">
        <v>32007</v>
      </c>
      <c r="L43" s="17">
        <v>32021</v>
      </c>
      <c r="M43" s="30">
        <v>32001</v>
      </c>
      <c r="N43" s="17">
        <v>32021</v>
      </c>
      <c r="O43" s="14">
        <v>0</v>
      </c>
      <c r="P43" s="18">
        <v>6.625</v>
      </c>
      <c r="Q43" s="20">
        <v>3.8</v>
      </c>
      <c r="R43" s="20">
        <v>3.7</v>
      </c>
      <c r="S43" s="20">
        <v>2.9</v>
      </c>
      <c r="T43" s="20">
        <v>4</v>
      </c>
      <c r="U43" s="20">
        <v>4.0999999999999996</v>
      </c>
      <c r="V43" s="19">
        <v>0</v>
      </c>
      <c r="W43" s="19">
        <v>0.5</v>
      </c>
      <c r="X43" s="19">
        <v>0.1</v>
      </c>
      <c r="Y43" s="19">
        <v>0.2</v>
      </c>
      <c r="Z43" s="20">
        <v>2.6</v>
      </c>
      <c r="AA43" s="20">
        <v>2.6</v>
      </c>
      <c r="AB43" s="20">
        <v>2.7</v>
      </c>
      <c r="AC43" s="20">
        <v>2.5</v>
      </c>
      <c r="AD43" s="20">
        <v>2.4</v>
      </c>
      <c r="AE43" s="19">
        <v>-3.5</v>
      </c>
      <c r="AF43" s="19">
        <v>0</v>
      </c>
      <c r="AG43" s="19">
        <v>0.2</v>
      </c>
      <c r="AH43" s="19">
        <v>0.1</v>
      </c>
      <c r="AI43" s="15">
        <v>6.2</v>
      </c>
      <c r="AJ43" s="15">
        <v>6.1</v>
      </c>
      <c r="AK43" s="15">
        <v>6.1</v>
      </c>
      <c r="AL43" s="15">
        <v>6</v>
      </c>
      <c r="AM43" s="15">
        <v>6</v>
      </c>
      <c r="AN43" s="19">
        <v>-0.1</v>
      </c>
      <c r="AO43" s="19">
        <v>-0.2</v>
      </c>
      <c r="AP43" s="19">
        <v>-0.2</v>
      </c>
      <c r="AQ43" s="19">
        <v>-0.3</v>
      </c>
    </row>
    <row r="44" spans="2:43">
      <c r="B44">
        <f t="shared" si="0"/>
        <v>1987</v>
      </c>
      <c r="C44">
        <f t="shared" si="1"/>
        <v>9</v>
      </c>
      <c r="D44" s="7">
        <v>32023</v>
      </c>
      <c r="E44" s="67">
        <f>E43</f>
        <v>32001</v>
      </c>
      <c r="F44" s="4">
        <v>0</v>
      </c>
      <c r="G44" s="4">
        <v>0</v>
      </c>
      <c r="H44" s="10" t="e">
        <v>#N/A</v>
      </c>
      <c r="I44" s="10" t="e">
        <v>#N/A</v>
      </c>
      <c r="J44" s="12" t="e">
        <f>NA()</f>
        <v>#N/A</v>
      </c>
      <c r="K44" s="17" t="e">
        <v>#N/A</v>
      </c>
      <c r="L44" s="17" t="e">
        <v>#N/A</v>
      </c>
      <c r="M44" s="30" t="e">
        <v>#N/A</v>
      </c>
      <c r="N44" s="17" t="e">
        <v>#N/A</v>
      </c>
      <c r="O44" s="14" t="e">
        <v>#N/A</v>
      </c>
      <c r="P44" s="18" t="e">
        <v>#N/A</v>
      </c>
      <c r="Q44" s="68">
        <f>R43</f>
        <v>3.7</v>
      </c>
      <c r="R44" s="68">
        <f>S43</f>
        <v>2.9</v>
      </c>
      <c r="S44" s="68">
        <f t="shared" ref="S44" si="125">T43</f>
        <v>4</v>
      </c>
      <c r="T44" s="68">
        <f>U43</f>
        <v>4.0999999999999996</v>
      </c>
      <c r="U44" s="70">
        <v>4.0999999999999996</v>
      </c>
      <c r="V44" s="69">
        <v>0</v>
      </c>
      <c r="W44" s="69">
        <v>0</v>
      </c>
      <c r="X44" s="69">
        <v>0</v>
      </c>
      <c r="Y44" s="69">
        <v>0</v>
      </c>
      <c r="Z44" s="68">
        <f>AA43</f>
        <v>2.6</v>
      </c>
      <c r="AA44" s="68">
        <f>AB43</f>
        <v>2.7</v>
      </c>
      <c r="AB44" s="68">
        <f t="shared" ref="AB44" si="126">AC43</f>
        <v>2.5</v>
      </c>
      <c r="AC44" s="68">
        <f>AD43</f>
        <v>2.4</v>
      </c>
      <c r="AD44" s="70">
        <v>2.4</v>
      </c>
      <c r="AE44" s="69">
        <v>0</v>
      </c>
      <c r="AF44" s="69">
        <v>0</v>
      </c>
      <c r="AG44" s="69">
        <v>0</v>
      </c>
      <c r="AH44" s="69">
        <v>0</v>
      </c>
      <c r="AI44" s="68">
        <f>AJ43</f>
        <v>6.1</v>
      </c>
      <c r="AJ44" s="68">
        <f>AK43</f>
        <v>6.1</v>
      </c>
      <c r="AK44" s="68">
        <f t="shared" ref="AK44" si="127">AL43</f>
        <v>6</v>
      </c>
      <c r="AL44" s="68">
        <f>AM43</f>
        <v>6</v>
      </c>
      <c r="AM44" s="70">
        <v>6</v>
      </c>
      <c r="AN44" s="69">
        <v>0</v>
      </c>
      <c r="AO44" s="69">
        <v>0</v>
      </c>
      <c r="AP44" s="69">
        <v>0</v>
      </c>
      <c r="AQ44" s="69">
        <v>0</v>
      </c>
    </row>
    <row r="45" spans="2:43">
      <c r="B45">
        <f t="shared" si="0"/>
        <v>1987</v>
      </c>
      <c r="C45">
        <f t="shared" si="1"/>
        <v>9</v>
      </c>
      <c r="D45" s="7">
        <v>32024</v>
      </c>
      <c r="E45" s="67">
        <f>E44</f>
        <v>32001</v>
      </c>
      <c r="F45" s="4">
        <v>0</v>
      </c>
      <c r="G45" s="4">
        <v>0</v>
      </c>
      <c r="H45" s="10" t="e">
        <v>#N/A</v>
      </c>
      <c r="I45" s="10" t="e">
        <v>#N/A</v>
      </c>
      <c r="J45" s="12" t="e">
        <f>NA()</f>
        <v>#N/A</v>
      </c>
      <c r="K45" s="17" t="e">
        <v>#N/A</v>
      </c>
      <c r="L45" s="17" t="e">
        <v>#N/A</v>
      </c>
      <c r="M45" s="30" t="e">
        <v>#N/A</v>
      </c>
      <c r="N45" s="17" t="e">
        <v>#N/A</v>
      </c>
      <c r="O45" s="14" t="e">
        <v>#N/A</v>
      </c>
      <c r="P45" s="18" t="e">
        <v>#N/A</v>
      </c>
      <c r="Q45" s="68">
        <f>Q44</f>
        <v>3.7</v>
      </c>
      <c r="R45" s="68">
        <f t="shared" ref="R45" si="128">R44</f>
        <v>2.9</v>
      </c>
      <c r="S45" s="68">
        <f t="shared" ref="S45" si="129">S44</f>
        <v>4</v>
      </c>
      <c r="T45" s="68">
        <f t="shared" ref="T45:U45" si="130">T44</f>
        <v>4.0999999999999996</v>
      </c>
      <c r="U45" s="68">
        <f t="shared" si="130"/>
        <v>4.0999999999999996</v>
      </c>
      <c r="V45" s="69">
        <v>0</v>
      </c>
      <c r="W45" s="69">
        <v>0</v>
      </c>
      <c r="X45" s="69">
        <v>0</v>
      </c>
      <c r="Y45" s="69">
        <v>0</v>
      </c>
      <c r="Z45" s="68">
        <f>Z44</f>
        <v>2.6</v>
      </c>
      <c r="AA45" s="68">
        <f t="shared" ref="AA45" si="131">AA44</f>
        <v>2.7</v>
      </c>
      <c r="AB45" s="68">
        <f t="shared" ref="AB45" si="132">AB44</f>
        <v>2.5</v>
      </c>
      <c r="AC45" s="68">
        <f t="shared" ref="AC45" si="133">AC44</f>
        <v>2.4</v>
      </c>
      <c r="AD45" s="68">
        <f>AD44</f>
        <v>2.4</v>
      </c>
      <c r="AE45" s="69">
        <v>0</v>
      </c>
      <c r="AF45" s="69">
        <v>0</v>
      </c>
      <c r="AG45" s="69">
        <v>0</v>
      </c>
      <c r="AH45" s="69">
        <v>0</v>
      </c>
      <c r="AI45" s="68">
        <f>AI44</f>
        <v>6.1</v>
      </c>
      <c r="AJ45" s="68">
        <f t="shared" ref="AJ45" si="134">AJ44</f>
        <v>6.1</v>
      </c>
      <c r="AK45" s="68">
        <f t="shared" ref="AK45" si="135">AK44</f>
        <v>6</v>
      </c>
      <c r="AL45" s="68">
        <f t="shared" ref="AL45" si="136">AL44</f>
        <v>6</v>
      </c>
      <c r="AM45" s="68">
        <f>AM44</f>
        <v>6</v>
      </c>
      <c r="AN45" s="69">
        <v>0</v>
      </c>
      <c r="AO45" s="69">
        <v>0</v>
      </c>
      <c r="AP45" s="69">
        <v>0</v>
      </c>
      <c r="AQ45" s="69">
        <v>0</v>
      </c>
    </row>
    <row r="46" spans="2:43">
      <c r="B46">
        <f t="shared" si="0"/>
        <v>1987</v>
      </c>
      <c r="C46">
        <f t="shared" si="1"/>
        <v>9</v>
      </c>
      <c r="D46" s="7">
        <v>32043</v>
      </c>
      <c r="E46" s="6">
        <v>32036</v>
      </c>
      <c r="F46" s="4">
        <v>1</v>
      </c>
      <c r="G46" s="4">
        <v>0</v>
      </c>
      <c r="H46" s="10" t="e">
        <v>#N/A</v>
      </c>
      <c r="I46" s="10" t="e">
        <v>#N/A</v>
      </c>
      <c r="J46" s="12">
        <v>92287</v>
      </c>
      <c r="K46" s="17">
        <v>32042</v>
      </c>
      <c r="L46" s="17">
        <v>32021</v>
      </c>
      <c r="M46" s="30">
        <v>32036</v>
      </c>
      <c r="N46" s="17">
        <v>32021</v>
      </c>
      <c r="O46" s="14">
        <v>0</v>
      </c>
      <c r="P46" s="18">
        <v>7.25</v>
      </c>
      <c r="Q46" s="20">
        <v>3.8</v>
      </c>
      <c r="R46" s="20">
        <v>3.3</v>
      </c>
      <c r="S46" s="20">
        <v>2.6</v>
      </c>
      <c r="T46" s="20">
        <v>4</v>
      </c>
      <c r="U46" s="20">
        <v>4.2</v>
      </c>
      <c r="V46" s="19">
        <v>0</v>
      </c>
      <c r="W46" s="19">
        <v>-0.4</v>
      </c>
      <c r="X46" s="19">
        <v>-0.3</v>
      </c>
      <c r="Y46" s="19">
        <v>0</v>
      </c>
      <c r="Z46" s="20">
        <v>2.2999999999999998</v>
      </c>
      <c r="AA46" s="20">
        <v>3.5</v>
      </c>
      <c r="AB46" s="20">
        <v>3</v>
      </c>
      <c r="AC46" s="20">
        <v>2.9</v>
      </c>
      <c r="AD46" s="20">
        <v>2.6</v>
      </c>
      <c r="AE46" s="19">
        <v>-0.3</v>
      </c>
      <c r="AF46" s="19">
        <v>0.9</v>
      </c>
      <c r="AG46" s="19">
        <v>0.3</v>
      </c>
      <c r="AH46" s="19">
        <v>0.4</v>
      </c>
      <c r="AI46" s="15">
        <v>6.2</v>
      </c>
      <c r="AJ46" s="15">
        <v>6</v>
      </c>
      <c r="AK46" s="15">
        <v>6</v>
      </c>
      <c r="AL46" s="15">
        <v>5.9</v>
      </c>
      <c r="AM46" s="15">
        <v>5.9</v>
      </c>
      <c r="AN46" s="19">
        <v>0</v>
      </c>
      <c r="AO46" s="19">
        <v>-0.1</v>
      </c>
      <c r="AP46" s="19">
        <v>-0.1</v>
      </c>
      <c r="AQ46" s="19">
        <v>-0.1</v>
      </c>
    </row>
    <row r="47" spans="2:43">
      <c r="B47">
        <f t="shared" si="0"/>
        <v>1987</v>
      </c>
      <c r="C47">
        <f t="shared" si="1"/>
        <v>10</v>
      </c>
      <c r="D47" s="7">
        <v>32073</v>
      </c>
      <c r="E47" s="67">
        <f>E46</f>
        <v>32036</v>
      </c>
      <c r="F47" s="4">
        <v>1</v>
      </c>
      <c r="G47" s="4">
        <v>1</v>
      </c>
      <c r="H47" s="10" t="e">
        <v>#N/A</v>
      </c>
      <c r="I47" s="10" t="e">
        <v>#N/A</v>
      </c>
      <c r="J47" s="12" t="e">
        <f>NA()</f>
        <v>#N/A</v>
      </c>
      <c r="K47" s="17" t="e">
        <v>#N/A</v>
      </c>
      <c r="L47" s="17" t="e">
        <v>#N/A</v>
      </c>
      <c r="M47" s="30" t="e">
        <v>#N/A</v>
      </c>
      <c r="N47" s="17" t="e">
        <v>#N/A</v>
      </c>
      <c r="O47" s="14" t="e">
        <v>#N/A</v>
      </c>
      <c r="P47" s="18" t="e">
        <v>#N/A</v>
      </c>
      <c r="Q47" s="68">
        <f>R46</f>
        <v>3.3</v>
      </c>
      <c r="R47" s="68">
        <f>S46</f>
        <v>2.6</v>
      </c>
      <c r="S47" s="68">
        <f t="shared" ref="S47" si="137">T46</f>
        <v>4</v>
      </c>
      <c r="T47" s="68">
        <f>U46</f>
        <v>4.2</v>
      </c>
      <c r="U47" s="70">
        <v>4.2</v>
      </c>
      <c r="V47" s="69">
        <v>0</v>
      </c>
      <c r="W47" s="69">
        <v>0</v>
      </c>
      <c r="X47" s="69">
        <v>0</v>
      </c>
      <c r="Y47" s="69">
        <v>0</v>
      </c>
      <c r="Z47" s="68">
        <f>AA46</f>
        <v>3.5</v>
      </c>
      <c r="AA47" s="68">
        <f>AB46</f>
        <v>3</v>
      </c>
      <c r="AB47" s="68">
        <f t="shared" ref="AB47" si="138">AC46</f>
        <v>2.9</v>
      </c>
      <c r="AC47" s="68">
        <f>AD46</f>
        <v>2.6</v>
      </c>
      <c r="AD47" s="70">
        <v>2.4</v>
      </c>
      <c r="AE47" s="69">
        <v>0</v>
      </c>
      <c r="AF47" s="69">
        <v>0</v>
      </c>
      <c r="AG47" s="69">
        <v>0</v>
      </c>
      <c r="AH47" s="69">
        <v>0</v>
      </c>
      <c r="AI47" s="68">
        <f>AJ46</f>
        <v>6</v>
      </c>
      <c r="AJ47" s="68">
        <f>AK46</f>
        <v>6</v>
      </c>
      <c r="AK47" s="68">
        <f t="shared" ref="AK47" si="139">AL46</f>
        <v>5.9</v>
      </c>
      <c r="AL47" s="68">
        <f>AM46</f>
        <v>5.9</v>
      </c>
      <c r="AM47" s="70">
        <v>5.9</v>
      </c>
      <c r="AN47" s="69">
        <v>0</v>
      </c>
      <c r="AO47" s="69">
        <v>0</v>
      </c>
      <c r="AP47" s="69">
        <v>0</v>
      </c>
      <c r="AQ47" s="69">
        <v>0</v>
      </c>
    </row>
    <row r="48" spans="2:43">
      <c r="B48">
        <f t="shared" si="0"/>
        <v>1987</v>
      </c>
      <c r="C48">
        <f t="shared" si="1"/>
        <v>10</v>
      </c>
      <c r="D48" s="7">
        <v>32078</v>
      </c>
      <c r="E48" s="67">
        <f>E47</f>
        <v>32036</v>
      </c>
      <c r="F48" s="4">
        <v>1</v>
      </c>
      <c r="G48" s="4">
        <v>1</v>
      </c>
      <c r="H48" s="10" t="e">
        <v>#N/A</v>
      </c>
      <c r="I48" s="10" t="e">
        <v>#N/A</v>
      </c>
      <c r="J48" s="12" t="e">
        <f>NA()</f>
        <v>#N/A</v>
      </c>
      <c r="K48" s="17" t="e">
        <v>#N/A</v>
      </c>
      <c r="L48" s="17" t="e">
        <v>#N/A</v>
      </c>
      <c r="M48" s="30" t="e">
        <v>#N/A</v>
      </c>
      <c r="N48" s="17" t="e">
        <v>#N/A</v>
      </c>
      <c r="O48" s="14" t="e">
        <v>#N/A</v>
      </c>
      <c r="P48" s="18" t="e">
        <v>#N/A</v>
      </c>
      <c r="Q48" s="68">
        <f>Q47</f>
        <v>3.3</v>
      </c>
      <c r="R48" s="68">
        <f t="shared" ref="R48" si="140">R47</f>
        <v>2.6</v>
      </c>
      <c r="S48" s="68">
        <f t="shared" ref="S48" si="141">S47</f>
        <v>4</v>
      </c>
      <c r="T48" s="68">
        <f t="shared" ref="T48" si="142">T47</f>
        <v>4.2</v>
      </c>
      <c r="U48" s="68">
        <f>U47</f>
        <v>4.2</v>
      </c>
      <c r="V48" s="69">
        <v>0</v>
      </c>
      <c r="W48" s="69">
        <v>0</v>
      </c>
      <c r="X48" s="69">
        <v>0</v>
      </c>
      <c r="Y48" s="69">
        <v>0</v>
      </c>
      <c r="Z48" s="68">
        <f>Z47</f>
        <v>3.5</v>
      </c>
      <c r="AA48" s="68">
        <f t="shared" ref="AA48" si="143">AA47</f>
        <v>3</v>
      </c>
      <c r="AB48" s="68">
        <f t="shared" ref="AB48" si="144">AB47</f>
        <v>2.9</v>
      </c>
      <c r="AC48" s="68">
        <f t="shared" ref="AC48" si="145">AC47</f>
        <v>2.6</v>
      </c>
      <c r="AD48" s="68">
        <f>AD47</f>
        <v>2.4</v>
      </c>
      <c r="AE48" s="69">
        <v>0</v>
      </c>
      <c r="AF48" s="69">
        <v>0</v>
      </c>
      <c r="AG48" s="69">
        <v>0</v>
      </c>
      <c r="AH48" s="69">
        <v>0</v>
      </c>
      <c r="AI48" s="68">
        <f>AI47</f>
        <v>6</v>
      </c>
      <c r="AJ48" s="68">
        <f t="shared" ref="AJ48" si="146">AJ47</f>
        <v>6</v>
      </c>
      <c r="AK48" s="68">
        <f t="shared" ref="AK48" si="147">AK47</f>
        <v>5.9</v>
      </c>
      <c r="AL48" s="68">
        <f t="shared" ref="AL48" si="148">AL47</f>
        <v>5.9</v>
      </c>
      <c r="AM48" s="68">
        <f>AM47</f>
        <v>5.9</v>
      </c>
      <c r="AN48" s="69">
        <v>0</v>
      </c>
      <c r="AO48" s="69">
        <v>0</v>
      </c>
      <c r="AP48" s="69">
        <v>0</v>
      </c>
      <c r="AQ48" s="69">
        <v>0</v>
      </c>
    </row>
    <row r="49" spans="2:43">
      <c r="B49">
        <f t="shared" si="0"/>
        <v>1987</v>
      </c>
      <c r="C49">
        <f t="shared" si="1"/>
        <v>11</v>
      </c>
      <c r="D49" s="7">
        <v>32085</v>
      </c>
      <c r="E49" s="6">
        <v>32078</v>
      </c>
      <c r="F49" s="4">
        <v>1</v>
      </c>
      <c r="G49" s="4">
        <v>0</v>
      </c>
      <c r="H49" s="10" t="e">
        <v>#N/A</v>
      </c>
      <c r="I49" s="10" t="e">
        <v>#N/A</v>
      </c>
      <c r="J49" s="12">
        <v>110387</v>
      </c>
      <c r="K49" s="17">
        <v>32084</v>
      </c>
      <c r="L49" s="17">
        <v>32112</v>
      </c>
      <c r="M49" s="30">
        <v>32078</v>
      </c>
      <c r="N49" s="17">
        <v>32112</v>
      </c>
      <c r="O49" s="14">
        <v>-0.3125</v>
      </c>
      <c r="P49" s="18">
        <v>7.125</v>
      </c>
      <c r="Q49" s="20">
        <v>2.4</v>
      </c>
      <c r="R49" s="20">
        <v>2.6</v>
      </c>
      <c r="S49" s="20">
        <v>4</v>
      </c>
      <c r="T49" s="20">
        <v>3.8</v>
      </c>
      <c r="U49" s="20">
        <v>4.0999999999999996</v>
      </c>
      <c r="V49" s="19">
        <v>-0.9</v>
      </c>
      <c r="W49" s="19">
        <v>0</v>
      </c>
      <c r="X49" s="19">
        <v>0</v>
      </c>
      <c r="Y49" s="19">
        <v>-0.4</v>
      </c>
      <c r="Z49" s="20">
        <v>3.8</v>
      </c>
      <c r="AA49" s="20">
        <v>2.2000000000000002</v>
      </c>
      <c r="AB49" s="20">
        <v>0.8</v>
      </c>
      <c r="AC49" s="20">
        <v>1.4</v>
      </c>
      <c r="AD49" s="20">
        <v>2.6</v>
      </c>
      <c r="AE49" s="19">
        <v>0.3</v>
      </c>
      <c r="AF49" s="19">
        <v>-0.8</v>
      </c>
      <c r="AG49" s="19">
        <v>-2.1</v>
      </c>
      <c r="AH49" s="19">
        <v>-1.2</v>
      </c>
      <c r="AI49" s="15">
        <v>6</v>
      </c>
      <c r="AJ49" s="15">
        <v>6.1</v>
      </c>
      <c r="AK49" s="15">
        <v>6.2</v>
      </c>
      <c r="AL49" s="15">
        <v>6.3</v>
      </c>
      <c r="AM49" s="15">
        <v>6.3</v>
      </c>
      <c r="AN49" s="19">
        <v>0</v>
      </c>
      <c r="AO49" s="19">
        <v>0.1</v>
      </c>
      <c r="AP49" s="19">
        <v>0.3</v>
      </c>
      <c r="AQ49" s="19">
        <v>0.4</v>
      </c>
    </row>
    <row r="50" spans="2:43">
      <c r="B50">
        <f t="shared" si="0"/>
        <v>1987</v>
      </c>
      <c r="C50">
        <f t="shared" si="1"/>
        <v>12</v>
      </c>
      <c r="D50" s="7">
        <v>32128</v>
      </c>
      <c r="E50" s="6">
        <v>32120</v>
      </c>
      <c r="F50" s="4">
        <v>1</v>
      </c>
      <c r="G50" s="4">
        <v>0</v>
      </c>
      <c r="H50" s="10" t="e">
        <v>#N/A</v>
      </c>
      <c r="I50" s="10" t="e">
        <v>#N/A</v>
      </c>
      <c r="J50" s="12">
        <v>121687</v>
      </c>
      <c r="K50" s="17">
        <v>32127</v>
      </c>
      <c r="L50" s="17">
        <v>32112</v>
      </c>
      <c r="M50" s="30">
        <v>32120</v>
      </c>
      <c r="N50" s="17">
        <v>32112</v>
      </c>
      <c r="O50" s="14">
        <v>0</v>
      </c>
      <c r="P50" s="18">
        <v>6.8125</v>
      </c>
      <c r="Q50" s="20">
        <v>2.8</v>
      </c>
      <c r="R50" s="20">
        <v>2.5</v>
      </c>
      <c r="S50" s="20">
        <v>3.9</v>
      </c>
      <c r="T50" s="20">
        <v>3.4</v>
      </c>
      <c r="U50" s="20">
        <v>3.7</v>
      </c>
      <c r="V50" s="19">
        <v>0.4</v>
      </c>
      <c r="W50" s="19">
        <v>-0.1</v>
      </c>
      <c r="X50" s="19">
        <v>-0.1</v>
      </c>
      <c r="Y50" s="19">
        <v>-0.4</v>
      </c>
      <c r="Z50" s="20">
        <v>4.0999999999999996</v>
      </c>
      <c r="AA50" s="20">
        <v>3</v>
      </c>
      <c r="AB50" s="20">
        <v>1.1000000000000001</v>
      </c>
      <c r="AC50" s="20">
        <v>1.6</v>
      </c>
      <c r="AD50" s="20">
        <v>2.6</v>
      </c>
      <c r="AE50" s="19">
        <v>0.3</v>
      </c>
      <c r="AF50" s="19">
        <v>0.8</v>
      </c>
      <c r="AG50" s="19">
        <v>0.3</v>
      </c>
      <c r="AH50" s="19">
        <v>0.2</v>
      </c>
      <c r="AI50" s="15">
        <v>6</v>
      </c>
      <c r="AJ50" s="15">
        <v>6</v>
      </c>
      <c r="AK50" s="15">
        <v>6.2</v>
      </c>
      <c r="AL50" s="15">
        <v>6.3</v>
      </c>
      <c r="AM50" s="15">
        <v>6.3</v>
      </c>
      <c r="AN50" s="19">
        <v>0</v>
      </c>
      <c r="AO50" s="19">
        <v>-0.1</v>
      </c>
      <c r="AP50" s="19">
        <v>0</v>
      </c>
      <c r="AQ50" s="19">
        <v>0</v>
      </c>
    </row>
    <row r="51" spans="2:43">
      <c r="B51">
        <f t="shared" si="0"/>
        <v>1988</v>
      </c>
      <c r="C51">
        <f t="shared" si="1"/>
        <v>1</v>
      </c>
      <c r="D51" s="7">
        <v>32170</v>
      </c>
      <c r="E51" s="67">
        <f>E50</f>
        <v>32120</v>
      </c>
      <c r="F51" s="4">
        <v>0</v>
      </c>
      <c r="G51" s="4">
        <v>0</v>
      </c>
      <c r="H51" s="10" t="e">
        <v>#N/A</v>
      </c>
      <c r="I51" s="10" t="e">
        <v>#N/A</v>
      </c>
      <c r="J51" s="12" t="e">
        <f>NA()</f>
        <v>#N/A</v>
      </c>
      <c r="K51" s="17" t="e">
        <v>#N/A</v>
      </c>
      <c r="L51" s="17" t="e">
        <v>#N/A</v>
      </c>
      <c r="M51" s="30" t="e">
        <v>#N/A</v>
      </c>
      <c r="N51" s="17" t="e">
        <v>#N/A</v>
      </c>
      <c r="O51" s="14" t="e">
        <v>#N/A</v>
      </c>
      <c r="P51" s="18" t="e">
        <v>#N/A</v>
      </c>
      <c r="Q51" s="68">
        <f>R50</f>
        <v>2.5</v>
      </c>
      <c r="R51" s="68">
        <f>S50</f>
        <v>3.9</v>
      </c>
      <c r="S51" s="68">
        <f t="shared" ref="S51" si="149">T50</f>
        <v>3.4</v>
      </c>
      <c r="T51" s="68">
        <f>U50</f>
        <v>3.7</v>
      </c>
      <c r="U51" s="70">
        <v>3.9</v>
      </c>
      <c r="V51" s="69">
        <v>0</v>
      </c>
      <c r="W51" s="69">
        <v>0</v>
      </c>
      <c r="X51" s="69">
        <v>0</v>
      </c>
      <c r="Y51" s="69">
        <v>0</v>
      </c>
      <c r="Z51" s="68">
        <f>AA50</f>
        <v>3</v>
      </c>
      <c r="AA51" s="68">
        <f>AB50</f>
        <v>1.1000000000000001</v>
      </c>
      <c r="AB51" s="68">
        <f t="shared" ref="AB51" si="150">AC50</f>
        <v>1.6</v>
      </c>
      <c r="AC51" s="68">
        <f>AD50</f>
        <v>2.6</v>
      </c>
      <c r="AD51" s="70">
        <v>2.9</v>
      </c>
      <c r="AE51" s="69">
        <v>0</v>
      </c>
      <c r="AF51" s="69">
        <v>0</v>
      </c>
      <c r="AG51" s="69">
        <v>0</v>
      </c>
      <c r="AH51" s="69">
        <v>0</v>
      </c>
      <c r="AI51" s="68">
        <f>AJ50</f>
        <v>6</v>
      </c>
      <c r="AJ51" s="68">
        <f>AK50</f>
        <v>6.2</v>
      </c>
      <c r="AK51" s="68">
        <f t="shared" ref="AK51" si="151">AL50</f>
        <v>6.3</v>
      </c>
      <c r="AL51" s="68">
        <f>AM50</f>
        <v>6.3</v>
      </c>
      <c r="AM51" s="70">
        <v>6.2</v>
      </c>
      <c r="AN51" s="69">
        <v>0</v>
      </c>
      <c r="AO51" s="69">
        <v>0</v>
      </c>
      <c r="AP51" s="69">
        <v>0</v>
      </c>
      <c r="AQ51" s="69">
        <v>0</v>
      </c>
    </row>
    <row r="52" spans="2:43">
      <c r="B52">
        <f t="shared" si="0"/>
        <v>1988</v>
      </c>
      <c r="C52">
        <f t="shared" si="1"/>
        <v>2</v>
      </c>
      <c r="D52" s="7">
        <v>32184</v>
      </c>
      <c r="E52" s="6">
        <v>32176</v>
      </c>
      <c r="F52" s="4">
        <v>1</v>
      </c>
      <c r="G52" s="4">
        <v>0</v>
      </c>
      <c r="H52" s="10" t="e">
        <v>#N/A</v>
      </c>
      <c r="I52" s="10" t="e">
        <v>#N/A</v>
      </c>
      <c r="J52" s="12">
        <v>21088</v>
      </c>
      <c r="K52" s="17">
        <v>32183</v>
      </c>
      <c r="L52" s="17">
        <v>32203</v>
      </c>
      <c r="M52" s="30">
        <v>32176</v>
      </c>
      <c r="N52" s="17">
        <v>32203</v>
      </c>
      <c r="O52" s="14">
        <v>-0.125</v>
      </c>
      <c r="P52" s="18">
        <v>6.625</v>
      </c>
      <c r="Q52" s="20">
        <v>2.7</v>
      </c>
      <c r="R52" s="20">
        <v>3.4</v>
      </c>
      <c r="S52" s="20">
        <v>3.5</v>
      </c>
      <c r="T52" s="20">
        <v>3.5</v>
      </c>
      <c r="U52" s="20">
        <v>3.8</v>
      </c>
      <c r="V52" s="19">
        <v>0.2</v>
      </c>
      <c r="W52" s="19">
        <v>-0.5</v>
      </c>
      <c r="X52" s="19">
        <v>0.1</v>
      </c>
      <c r="Y52" s="19">
        <v>-0.2</v>
      </c>
      <c r="Z52" s="20">
        <v>4.2</v>
      </c>
      <c r="AA52" s="20">
        <v>1.3</v>
      </c>
      <c r="AB52" s="20">
        <v>1.7</v>
      </c>
      <c r="AC52" s="20">
        <v>2.6</v>
      </c>
      <c r="AD52" s="20">
        <v>2.9</v>
      </c>
      <c r="AE52" s="19">
        <v>1.2</v>
      </c>
      <c r="AF52" s="19">
        <v>0.2</v>
      </c>
      <c r="AG52" s="19">
        <v>0.1</v>
      </c>
      <c r="AH52" s="19">
        <v>0</v>
      </c>
      <c r="AI52" s="15">
        <v>5.9</v>
      </c>
      <c r="AJ52" s="15">
        <v>5.9</v>
      </c>
      <c r="AK52" s="15">
        <v>6</v>
      </c>
      <c r="AL52" s="15">
        <v>6</v>
      </c>
      <c r="AM52" s="15">
        <v>6</v>
      </c>
      <c r="AN52" s="19">
        <v>-0.1</v>
      </c>
      <c r="AO52" s="19">
        <v>-0.3</v>
      </c>
      <c r="AP52" s="19">
        <v>-0.3</v>
      </c>
      <c r="AQ52" s="19">
        <v>-0.3</v>
      </c>
    </row>
    <row r="53" spans="2:43">
      <c r="B53">
        <f t="shared" si="0"/>
        <v>1988</v>
      </c>
      <c r="C53">
        <f t="shared" si="1"/>
        <v>3</v>
      </c>
      <c r="D53" s="7">
        <v>32232</v>
      </c>
      <c r="E53" s="6">
        <v>32225</v>
      </c>
      <c r="F53" s="4">
        <v>1</v>
      </c>
      <c r="G53" s="4">
        <v>0</v>
      </c>
      <c r="H53" s="10" t="e">
        <v>#N/A</v>
      </c>
      <c r="I53" s="10" t="e">
        <v>#N/A</v>
      </c>
      <c r="J53" s="12">
        <v>32988</v>
      </c>
      <c r="K53" s="17">
        <v>32231</v>
      </c>
      <c r="L53" s="17">
        <v>32203</v>
      </c>
      <c r="M53" s="30">
        <v>32225</v>
      </c>
      <c r="N53" s="17">
        <v>32203</v>
      </c>
      <c r="O53" s="14">
        <v>0.25</v>
      </c>
      <c r="P53" s="18">
        <v>6.5</v>
      </c>
      <c r="Q53" s="20">
        <v>2.7</v>
      </c>
      <c r="R53" s="20">
        <v>3.4</v>
      </c>
      <c r="S53" s="20">
        <v>3.1</v>
      </c>
      <c r="T53" s="20">
        <v>3.8</v>
      </c>
      <c r="U53" s="20">
        <v>3.8</v>
      </c>
      <c r="V53" s="19">
        <v>0</v>
      </c>
      <c r="W53" s="19">
        <v>0</v>
      </c>
      <c r="X53" s="19">
        <v>-0.4</v>
      </c>
      <c r="Y53" s="19">
        <v>0.3</v>
      </c>
      <c r="Z53" s="20">
        <v>4.5</v>
      </c>
      <c r="AA53" s="20">
        <v>2.7</v>
      </c>
      <c r="AB53" s="20">
        <v>2.5</v>
      </c>
      <c r="AC53" s="20">
        <v>2.6</v>
      </c>
      <c r="AD53" s="20">
        <v>2.8</v>
      </c>
      <c r="AE53" s="19">
        <v>0.3</v>
      </c>
      <c r="AF53" s="19">
        <v>1.4</v>
      </c>
      <c r="AG53" s="19">
        <v>0.8</v>
      </c>
      <c r="AH53" s="19">
        <v>0</v>
      </c>
      <c r="AI53" s="15">
        <v>5.9</v>
      </c>
      <c r="AJ53" s="15">
        <v>5.7</v>
      </c>
      <c r="AK53" s="15">
        <v>5.7</v>
      </c>
      <c r="AL53" s="15">
        <v>5.7</v>
      </c>
      <c r="AM53" s="15">
        <v>5.7</v>
      </c>
      <c r="AN53" s="19">
        <v>0</v>
      </c>
      <c r="AO53" s="19">
        <v>-0.2</v>
      </c>
      <c r="AP53" s="19">
        <v>-0.3</v>
      </c>
      <c r="AQ53" s="19">
        <v>-0.3</v>
      </c>
    </row>
    <row r="54" spans="2:43">
      <c r="B54">
        <f t="shared" si="0"/>
        <v>1988</v>
      </c>
      <c r="C54">
        <f t="shared" si="1"/>
        <v>5</v>
      </c>
      <c r="D54" s="7">
        <v>32272</v>
      </c>
      <c r="E54" s="67">
        <f>E53</f>
        <v>32225</v>
      </c>
      <c r="F54" s="4">
        <v>0</v>
      </c>
      <c r="G54" s="4">
        <v>0</v>
      </c>
      <c r="H54" s="10" t="e">
        <v>#N/A</v>
      </c>
      <c r="I54" s="10" t="e">
        <v>#N/A</v>
      </c>
      <c r="J54" s="12" t="e">
        <f>NA()</f>
        <v>#N/A</v>
      </c>
      <c r="K54" s="17" t="e">
        <v>#N/A</v>
      </c>
      <c r="L54" s="17" t="e">
        <v>#N/A</v>
      </c>
      <c r="M54" s="30" t="e">
        <v>#N/A</v>
      </c>
      <c r="N54" s="17" t="e">
        <v>#N/A</v>
      </c>
      <c r="O54" s="14" t="e">
        <v>#N/A</v>
      </c>
      <c r="P54" s="18" t="e">
        <v>#N/A</v>
      </c>
      <c r="Q54" s="68">
        <f>R53</f>
        <v>3.4</v>
      </c>
      <c r="R54" s="68">
        <f>S53</f>
        <v>3.1</v>
      </c>
      <c r="S54" s="68">
        <f t="shared" ref="S54" si="152">T53</f>
        <v>3.8</v>
      </c>
      <c r="T54" s="68">
        <f>U53</f>
        <v>3.8</v>
      </c>
      <c r="U54" s="70">
        <v>4</v>
      </c>
      <c r="V54" s="69">
        <v>0</v>
      </c>
      <c r="W54" s="69">
        <v>0</v>
      </c>
      <c r="X54" s="69">
        <v>0</v>
      </c>
      <c r="Y54" s="69">
        <v>0</v>
      </c>
      <c r="Z54" s="68">
        <f>AA53</f>
        <v>2.7</v>
      </c>
      <c r="AA54" s="68">
        <f>AB53</f>
        <v>2.5</v>
      </c>
      <c r="AB54" s="68">
        <f t="shared" ref="AB54" si="153">AC53</f>
        <v>2.6</v>
      </c>
      <c r="AC54" s="68">
        <f>AD53</f>
        <v>2.8</v>
      </c>
      <c r="AD54" s="70">
        <v>2.6</v>
      </c>
      <c r="AE54" s="69">
        <v>0</v>
      </c>
      <c r="AF54" s="69">
        <v>0</v>
      </c>
      <c r="AG54" s="69">
        <v>0</v>
      </c>
      <c r="AH54" s="69">
        <v>0</v>
      </c>
      <c r="AI54" s="68">
        <f>AJ53</f>
        <v>5.7</v>
      </c>
      <c r="AJ54" s="68">
        <f>AK53</f>
        <v>5.7</v>
      </c>
      <c r="AK54" s="68">
        <f t="shared" ref="AK54" si="154">AL53</f>
        <v>5.7</v>
      </c>
      <c r="AL54" s="68">
        <f>AM53</f>
        <v>5.7</v>
      </c>
      <c r="AM54" s="70">
        <v>5.6</v>
      </c>
      <c r="AN54" s="69">
        <v>0</v>
      </c>
      <c r="AO54" s="69">
        <v>0</v>
      </c>
      <c r="AP54" s="69">
        <v>0</v>
      </c>
      <c r="AQ54" s="69">
        <v>0</v>
      </c>
    </row>
    <row r="55" spans="2:43">
      <c r="B55">
        <f t="shared" si="0"/>
        <v>1988</v>
      </c>
      <c r="C55">
        <f t="shared" si="1"/>
        <v>5</v>
      </c>
      <c r="D55" s="7">
        <v>32281</v>
      </c>
      <c r="E55" s="6">
        <v>32274</v>
      </c>
      <c r="F55" s="4">
        <v>1</v>
      </c>
      <c r="G55" s="4">
        <v>0</v>
      </c>
      <c r="H55" s="10" t="e">
        <v>#N/A</v>
      </c>
      <c r="I55" s="10" t="e">
        <v>#N/A</v>
      </c>
      <c r="J55" s="12">
        <v>51788</v>
      </c>
      <c r="K55" s="17">
        <v>32280</v>
      </c>
      <c r="L55" s="17">
        <v>32295</v>
      </c>
      <c r="M55" s="30">
        <v>32274</v>
      </c>
      <c r="N55" s="17">
        <v>32295</v>
      </c>
      <c r="O55" s="14">
        <v>0.25</v>
      </c>
      <c r="P55" s="18">
        <v>7</v>
      </c>
      <c r="Q55" s="20">
        <v>2.4</v>
      </c>
      <c r="R55" s="20">
        <v>3.6</v>
      </c>
      <c r="S55" s="20">
        <v>4.0999999999999996</v>
      </c>
      <c r="T55" s="20">
        <v>4</v>
      </c>
      <c r="U55" s="20">
        <v>4.2</v>
      </c>
      <c r="V55" s="19">
        <v>-1</v>
      </c>
      <c r="W55" s="19">
        <v>0.5</v>
      </c>
      <c r="X55" s="19">
        <v>0.3</v>
      </c>
      <c r="Y55" s="19">
        <v>0.2</v>
      </c>
      <c r="Z55" s="20">
        <v>2.2999999999999998</v>
      </c>
      <c r="AA55" s="20">
        <v>3.5</v>
      </c>
      <c r="AB55" s="20">
        <v>2.4</v>
      </c>
      <c r="AC55" s="20">
        <v>2.2999999999999998</v>
      </c>
      <c r="AD55" s="20">
        <v>1.9</v>
      </c>
      <c r="AE55" s="19">
        <v>-0.4</v>
      </c>
      <c r="AF55" s="19">
        <v>1</v>
      </c>
      <c r="AG55" s="19">
        <v>-0.2</v>
      </c>
      <c r="AH55" s="19">
        <v>-0.5</v>
      </c>
      <c r="AI55" s="15">
        <v>5.7</v>
      </c>
      <c r="AJ55" s="15">
        <v>5.5</v>
      </c>
      <c r="AK55" s="15">
        <v>5.6</v>
      </c>
      <c r="AL55" s="15">
        <v>5.6</v>
      </c>
      <c r="AM55" s="15">
        <v>5.7</v>
      </c>
      <c r="AN55" s="19">
        <v>0</v>
      </c>
      <c r="AO55" s="19">
        <v>-0.2</v>
      </c>
      <c r="AP55" s="19">
        <v>-0.1</v>
      </c>
      <c r="AQ55" s="19">
        <v>-0.1</v>
      </c>
    </row>
    <row r="56" spans="2:43">
      <c r="B56">
        <f t="shared" si="0"/>
        <v>1988</v>
      </c>
      <c r="C56">
        <f t="shared" si="1"/>
        <v>5</v>
      </c>
      <c r="D56" s="7">
        <v>32288</v>
      </c>
      <c r="E56" s="67">
        <f>E55</f>
        <v>32274</v>
      </c>
      <c r="F56" s="4">
        <v>0</v>
      </c>
      <c r="G56" s="4">
        <v>0</v>
      </c>
      <c r="H56" s="10" t="e">
        <v>#N/A</v>
      </c>
      <c r="I56" s="10" t="e">
        <v>#N/A</v>
      </c>
      <c r="J56" s="12" t="e">
        <f>NA()</f>
        <v>#N/A</v>
      </c>
      <c r="K56" s="17" t="e">
        <v>#N/A</v>
      </c>
      <c r="L56" s="17" t="e">
        <v>#N/A</v>
      </c>
      <c r="M56" s="30" t="e">
        <v>#N/A</v>
      </c>
      <c r="N56" s="17" t="e">
        <v>#N/A</v>
      </c>
      <c r="O56" s="14" t="e">
        <v>#N/A</v>
      </c>
      <c r="P56" s="18" t="e">
        <v>#N/A</v>
      </c>
      <c r="Q56" s="68">
        <f>Q55</f>
        <v>2.4</v>
      </c>
      <c r="R56" s="68">
        <f t="shared" ref="R56" si="155">R55</f>
        <v>3.6</v>
      </c>
      <c r="S56" s="68">
        <f t="shared" ref="S56" si="156">S55</f>
        <v>4.0999999999999996</v>
      </c>
      <c r="T56" s="68">
        <f t="shared" ref="T56" si="157">T55</f>
        <v>4</v>
      </c>
      <c r="U56" s="68">
        <f t="shared" ref="U56" si="158">U55</f>
        <v>4.2</v>
      </c>
      <c r="V56" s="69">
        <v>0</v>
      </c>
      <c r="W56" s="69">
        <v>0</v>
      </c>
      <c r="X56" s="69">
        <v>0</v>
      </c>
      <c r="Y56" s="69">
        <v>0</v>
      </c>
      <c r="Z56" s="68">
        <f>Z55</f>
        <v>2.2999999999999998</v>
      </c>
      <c r="AA56" s="68">
        <f t="shared" ref="AA56" si="159">AA55</f>
        <v>3.5</v>
      </c>
      <c r="AB56" s="68">
        <f t="shared" ref="AB56" si="160">AB55</f>
        <v>2.4</v>
      </c>
      <c r="AC56" s="68">
        <f t="shared" ref="AC56" si="161">AC55</f>
        <v>2.2999999999999998</v>
      </c>
      <c r="AD56" s="68">
        <f t="shared" ref="AD56" si="162">AD55</f>
        <v>1.9</v>
      </c>
      <c r="AE56" s="69">
        <v>0</v>
      </c>
      <c r="AF56" s="69">
        <v>0</v>
      </c>
      <c r="AG56" s="69">
        <v>0</v>
      </c>
      <c r="AH56" s="69">
        <v>0</v>
      </c>
      <c r="AI56" s="68">
        <f>AI55</f>
        <v>5.7</v>
      </c>
      <c r="AJ56" s="68">
        <f t="shared" ref="AJ56" si="163">AJ55</f>
        <v>5.5</v>
      </c>
      <c r="AK56" s="68">
        <f t="shared" ref="AK56" si="164">AK55</f>
        <v>5.6</v>
      </c>
      <c r="AL56" s="68">
        <f t="shared" ref="AL56" si="165">AL55</f>
        <v>5.6</v>
      </c>
      <c r="AM56" s="68">
        <f t="shared" ref="AM56" si="166">AM55</f>
        <v>5.7</v>
      </c>
      <c r="AN56" s="69">
        <v>0</v>
      </c>
      <c r="AO56" s="69">
        <v>0</v>
      </c>
      <c r="AP56" s="69">
        <v>0</v>
      </c>
      <c r="AQ56" s="69">
        <v>0</v>
      </c>
    </row>
    <row r="57" spans="2:43">
      <c r="B57">
        <f t="shared" si="0"/>
        <v>1988</v>
      </c>
      <c r="C57">
        <f t="shared" si="1"/>
        <v>6</v>
      </c>
      <c r="D57" s="7">
        <v>32316</v>
      </c>
      <c r="E57" s="67">
        <f>E56</f>
        <v>32274</v>
      </c>
      <c r="F57" s="4">
        <v>0</v>
      </c>
      <c r="G57" s="4">
        <v>0</v>
      </c>
      <c r="H57" s="10" t="e">
        <v>#N/A</v>
      </c>
      <c r="I57" s="10" t="e">
        <v>#N/A</v>
      </c>
      <c r="J57" s="12" t="e">
        <f>NA()</f>
        <v>#N/A</v>
      </c>
      <c r="K57" s="17" t="e">
        <v>#N/A</v>
      </c>
      <c r="L57" s="17" t="e">
        <v>#N/A</v>
      </c>
      <c r="M57" s="30" t="e">
        <v>#N/A</v>
      </c>
      <c r="N57" s="17" t="e">
        <v>#N/A</v>
      </c>
      <c r="O57" s="14" t="e">
        <v>#N/A</v>
      </c>
      <c r="P57" s="18" t="e">
        <v>#N/A</v>
      </c>
      <c r="Q57" s="68">
        <f>R56</f>
        <v>3.6</v>
      </c>
      <c r="R57" s="68">
        <f>S56</f>
        <v>4.0999999999999996</v>
      </c>
      <c r="S57" s="68">
        <f t="shared" ref="S57" si="167">T56</f>
        <v>4</v>
      </c>
      <c r="T57" s="68">
        <f>U56</f>
        <v>4.2</v>
      </c>
      <c r="U57" s="70">
        <v>3.9</v>
      </c>
      <c r="V57" s="69">
        <v>0</v>
      </c>
      <c r="W57" s="69">
        <v>0</v>
      </c>
      <c r="X57" s="69">
        <v>0</v>
      </c>
      <c r="Y57" s="69">
        <v>0</v>
      </c>
      <c r="Z57" s="68">
        <f>AA56</f>
        <v>3.5</v>
      </c>
      <c r="AA57" s="68">
        <f>AB56</f>
        <v>2.4</v>
      </c>
      <c r="AB57" s="68">
        <f t="shared" ref="AB57" si="168">AC56</f>
        <v>2.2999999999999998</v>
      </c>
      <c r="AC57" s="68">
        <f>AD56</f>
        <v>1.9</v>
      </c>
      <c r="AD57" s="70">
        <v>1.9</v>
      </c>
      <c r="AE57" s="69">
        <v>0</v>
      </c>
      <c r="AF57" s="69">
        <v>0</v>
      </c>
      <c r="AG57" s="69">
        <v>0</v>
      </c>
      <c r="AH57" s="69">
        <v>0</v>
      </c>
      <c r="AI57" s="68">
        <f>AJ56</f>
        <v>5.5</v>
      </c>
      <c r="AJ57" s="68">
        <f>AK56</f>
        <v>5.6</v>
      </c>
      <c r="AK57" s="68">
        <f t="shared" ref="AK57" si="169">AL56</f>
        <v>5.6</v>
      </c>
      <c r="AL57" s="68">
        <f>AM56</f>
        <v>5.7</v>
      </c>
      <c r="AM57" s="70">
        <v>5.8</v>
      </c>
      <c r="AN57" s="69">
        <v>0</v>
      </c>
      <c r="AO57" s="69">
        <v>0</v>
      </c>
      <c r="AP57" s="69">
        <v>0</v>
      </c>
      <c r="AQ57" s="69">
        <v>0</v>
      </c>
    </row>
    <row r="58" spans="2:43">
      <c r="B58">
        <f t="shared" si="0"/>
        <v>1988</v>
      </c>
      <c r="C58">
        <f t="shared" si="1"/>
        <v>7</v>
      </c>
      <c r="D58" s="7">
        <v>32325</v>
      </c>
      <c r="E58" s="6">
        <v>32316</v>
      </c>
      <c r="F58" s="4">
        <v>1</v>
      </c>
      <c r="G58" s="4">
        <v>0</v>
      </c>
      <c r="H58" s="10" t="e">
        <v>#N/A</v>
      </c>
      <c r="I58" s="10" t="e">
        <v>#N/A</v>
      </c>
      <c r="J58" s="12">
        <v>63088</v>
      </c>
      <c r="K58" s="17">
        <v>32324</v>
      </c>
      <c r="L58" s="17">
        <v>32295</v>
      </c>
      <c r="M58" s="30">
        <v>32316</v>
      </c>
      <c r="N58" s="17">
        <v>32295</v>
      </c>
      <c r="O58" s="14">
        <v>0.25</v>
      </c>
      <c r="P58" s="18">
        <v>7.375</v>
      </c>
      <c r="Q58" s="20">
        <v>1.7</v>
      </c>
      <c r="R58" s="20">
        <v>4.7</v>
      </c>
      <c r="S58" s="20">
        <v>4.2</v>
      </c>
      <c r="T58" s="20">
        <v>4.3</v>
      </c>
      <c r="U58" s="20">
        <v>4.4000000000000004</v>
      </c>
      <c r="V58" s="19">
        <v>-0.7</v>
      </c>
      <c r="W58" s="19">
        <v>1.1000000000000001</v>
      </c>
      <c r="X58" s="19">
        <v>0.1</v>
      </c>
      <c r="Y58" s="19">
        <v>0.3</v>
      </c>
      <c r="Z58" s="20">
        <v>3.9</v>
      </c>
      <c r="AA58" s="20">
        <v>3.3</v>
      </c>
      <c r="AB58" s="20">
        <v>2.1</v>
      </c>
      <c r="AC58" s="20">
        <v>2.2999999999999998</v>
      </c>
      <c r="AD58" s="20">
        <v>2</v>
      </c>
      <c r="AE58" s="19">
        <v>1.6</v>
      </c>
      <c r="AF58" s="19">
        <v>-0.2</v>
      </c>
      <c r="AG58" s="19">
        <v>-0.3</v>
      </c>
      <c r="AH58" s="19">
        <v>0</v>
      </c>
      <c r="AI58" s="15">
        <v>5.7</v>
      </c>
      <c r="AJ58" s="15">
        <v>5.6</v>
      </c>
      <c r="AK58" s="15">
        <v>5.7</v>
      </c>
      <c r="AL58" s="15">
        <v>5.7</v>
      </c>
      <c r="AM58" s="15">
        <v>5.7</v>
      </c>
      <c r="AN58" s="19">
        <v>0</v>
      </c>
      <c r="AO58" s="19">
        <v>0.1</v>
      </c>
      <c r="AP58" s="19">
        <v>0.1</v>
      </c>
      <c r="AQ58" s="19">
        <v>0.1</v>
      </c>
    </row>
    <row r="59" spans="2:43">
      <c r="B59">
        <f t="shared" si="0"/>
        <v>1988</v>
      </c>
      <c r="C59">
        <f t="shared" si="1"/>
        <v>7</v>
      </c>
      <c r="D59" s="7">
        <v>32343</v>
      </c>
      <c r="E59" s="67">
        <f>E58</f>
        <v>32316</v>
      </c>
      <c r="F59" s="4">
        <v>1</v>
      </c>
      <c r="G59" s="4">
        <v>1</v>
      </c>
      <c r="H59" s="10" t="e">
        <v>#N/A</v>
      </c>
      <c r="I59" s="10" t="e">
        <v>#N/A</v>
      </c>
      <c r="J59" s="12" t="e">
        <f>NA()</f>
        <v>#N/A</v>
      </c>
      <c r="K59" s="17" t="e">
        <v>#N/A</v>
      </c>
      <c r="L59" s="17" t="e">
        <v>#N/A</v>
      </c>
      <c r="M59" s="30" t="e">
        <v>#N/A</v>
      </c>
      <c r="N59" s="17" t="e">
        <v>#N/A</v>
      </c>
      <c r="O59" s="14" t="e">
        <v>#N/A</v>
      </c>
      <c r="P59" s="18" t="e">
        <v>#N/A</v>
      </c>
      <c r="Q59" s="68">
        <f>Q58</f>
        <v>1.7</v>
      </c>
      <c r="R59" s="68">
        <f t="shared" ref="R59:R60" si="170">R58</f>
        <v>4.7</v>
      </c>
      <c r="S59" s="68">
        <f t="shared" ref="S59:S60" si="171">S58</f>
        <v>4.2</v>
      </c>
      <c r="T59" s="68">
        <f t="shared" ref="T59:T60" si="172">T58</f>
        <v>4.3</v>
      </c>
      <c r="U59" s="68">
        <f t="shared" ref="U59:U60" si="173">U58</f>
        <v>4.4000000000000004</v>
      </c>
      <c r="V59" s="69">
        <v>0</v>
      </c>
      <c r="W59" s="69">
        <v>0</v>
      </c>
      <c r="X59" s="69">
        <v>0</v>
      </c>
      <c r="Y59" s="69">
        <v>0</v>
      </c>
      <c r="Z59" s="68">
        <f>Z58</f>
        <v>3.9</v>
      </c>
      <c r="AA59" s="68">
        <f t="shared" ref="AA59:AA60" si="174">AA58</f>
        <v>3.3</v>
      </c>
      <c r="AB59" s="68">
        <f t="shared" ref="AB59:AB60" si="175">AB58</f>
        <v>2.1</v>
      </c>
      <c r="AC59" s="68">
        <f t="shared" ref="AC59:AC60" si="176">AC58</f>
        <v>2.2999999999999998</v>
      </c>
      <c r="AD59" s="68">
        <f t="shared" ref="AD59:AD60" si="177">AD58</f>
        <v>2</v>
      </c>
      <c r="AE59" s="69">
        <v>0</v>
      </c>
      <c r="AF59" s="69">
        <v>0</v>
      </c>
      <c r="AG59" s="69">
        <v>0</v>
      </c>
      <c r="AH59" s="69">
        <v>0</v>
      </c>
      <c r="AI59" s="68">
        <f>AI58</f>
        <v>5.7</v>
      </c>
      <c r="AJ59" s="68">
        <f t="shared" ref="AJ59:AJ60" si="178">AJ58</f>
        <v>5.6</v>
      </c>
      <c r="AK59" s="68">
        <f t="shared" ref="AK59:AK60" si="179">AK58</f>
        <v>5.7</v>
      </c>
      <c r="AL59" s="68">
        <f t="shared" ref="AL59:AL60" si="180">AL58</f>
        <v>5.7</v>
      </c>
      <c r="AM59" s="68">
        <f t="shared" ref="AM59:AM60" si="181">AM58</f>
        <v>5.7</v>
      </c>
      <c r="AN59" s="69">
        <v>0</v>
      </c>
      <c r="AO59" s="69">
        <v>0</v>
      </c>
      <c r="AP59" s="69">
        <v>0</v>
      </c>
      <c r="AQ59" s="69">
        <v>0</v>
      </c>
    </row>
    <row r="60" spans="2:43">
      <c r="B60">
        <f t="shared" si="0"/>
        <v>1988</v>
      </c>
      <c r="C60">
        <f t="shared" si="1"/>
        <v>8</v>
      </c>
      <c r="D60" s="7">
        <v>32364</v>
      </c>
      <c r="E60" s="67">
        <f>E59</f>
        <v>32316</v>
      </c>
      <c r="F60" s="4">
        <v>0</v>
      </c>
      <c r="G60" s="4">
        <v>0</v>
      </c>
      <c r="H60" s="10" t="e">
        <v>#N/A</v>
      </c>
      <c r="I60" s="10" t="e">
        <v>#N/A</v>
      </c>
      <c r="J60" s="12" t="e">
        <f>NA()</f>
        <v>#N/A</v>
      </c>
      <c r="K60" s="17" t="e">
        <v>#N/A</v>
      </c>
      <c r="L60" s="17" t="e">
        <v>#N/A</v>
      </c>
      <c r="M60" s="30" t="e">
        <v>#N/A</v>
      </c>
      <c r="N60" s="17" t="e">
        <v>#N/A</v>
      </c>
      <c r="O60" s="14" t="e">
        <v>#N/A</v>
      </c>
      <c r="P60" s="18" t="e">
        <v>#N/A</v>
      </c>
      <c r="Q60" s="68">
        <f>Q59</f>
        <v>1.7</v>
      </c>
      <c r="R60" s="68">
        <f t="shared" si="170"/>
        <v>4.7</v>
      </c>
      <c r="S60" s="68">
        <f t="shared" si="171"/>
        <v>4.2</v>
      </c>
      <c r="T60" s="68">
        <f t="shared" si="172"/>
        <v>4.3</v>
      </c>
      <c r="U60" s="68">
        <f t="shared" si="173"/>
        <v>4.4000000000000004</v>
      </c>
      <c r="V60" s="69">
        <v>0</v>
      </c>
      <c r="W60" s="69">
        <v>0</v>
      </c>
      <c r="X60" s="69">
        <v>0</v>
      </c>
      <c r="Y60" s="69">
        <v>0</v>
      </c>
      <c r="Z60" s="68">
        <f>Z59</f>
        <v>3.9</v>
      </c>
      <c r="AA60" s="68">
        <f t="shared" si="174"/>
        <v>3.3</v>
      </c>
      <c r="AB60" s="68">
        <f t="shared" si="175"/>
        <v>2.1</v>
      </c>
      <c r="AC60" s="68">
        <f t="shared" si="176"/>
        <v>2.2999999999999998</v>
      </c>
      <c r="AD60" s="68">
        <f t="shared" si="177"/>
        <v>2</v>
      </c>
      <c r="AE60" s="69">
        <v>0</v>
      </c>
      <c r="AF60" s="69">
        <v>0</v>
      </c>
      <c r="AG60" s="69">
        <v>0</v>
      </c>
      <c r="AH60" s="69">
        <v>0</v>
      </c>
      <c r="AI60" s="68">
        <f>AI59</f>
        <v>5.7</v>
      </c>
      <c r="AJ60" s="68">
        <f t="shared" si="178"/>
        <v>5.6</v>
      </c>
      <c r="AK60" s="68">
        <f t="shared" si="179"/>
        <v>5.7</v>
      </c>
      <c r="AL60" s="68">
        <f t="shared" si="180"/>
        <v>5.7</v>
      </c>
      <c r="AM60" s="68">
        <f t="shared" si="181"/>
        <v>5.7</v>
      </c>
      <c r="AN60" s="69">
        <v>0</v>
      </c>
      <c r="AO60" s="69">
        <v>0</v>
      </c>
      <c r="AP60" s="69">
        <v>0</v>
      </c>
      <c r="AQ60" s="69">
        <v>0</v>
      </c>
    </row>
    <row r="61" spans="2:43">
      <c r="B61">
        <f t="shared" si="0"/>
        <v>1988</v>
      </c>
      <c r="C61">
        <f t="shared" si="1"/>
        <v>8</v>
      </c>
      <c r="D61" s="7">
        <v>32372</v>
      </c>
      <c r="E61" s="6">
        <v>32365</v>
      </c>
      <c r="F61" s="4">
        <v>1</v>
      </c>
      <c r="G61" s="4">
        <v>0</v>
      </c>
      <c r="H61" s="10" t="e">
        <v>#N/A</v>
      </c>
      <c r="I61" s="10" t="e">
        <v>#N/A</v>
      </c>
      <c r="J61" s="12">
        <v>81688</v>
      </c>
      <c r="K61" s="17">
        <v>32371</v>
      </c>
      <c r="L61" s="17">
        <v>32387</v>
      </c>
      <c r="M61" s="30">
        <v>32365</v>
      </c>
      <c r="N61" s="17">
        <v>32387</v>
      </c>
      <c r="O61" s="14">
        <v>0</v>
      </c>
      <c r="P61" s="18">
        <v>8.125</v>
      </c>
      <c r="Q61" s="20">
        <v>4.0999999999999996</v>
      </c>
      <c r="R61" s="20">
        <v>4</v>
      </c>
      <c r="S61" s="20">
        <v>4.2</v>
      </c>
      <c r="T61" s="20">
        <v>4</v>
      </c>
      <c r="U61" s="20">
        <v>3.8</v>
      </c>
      <c r="V61" s="19">
        <v>-0.6</v>
      </c>
      <c r="W61" s="19">
        <v>-0.2</v>
      </c>
      <c r="X61" s="19">
        <v>-0.1</v>
      </c>
      <c r="Y61" s="19">
        <v>-0.4</v>
      </c>
      <c r="Z61" s="20">
        <v>3.1</v>
      </c>
      <c r="AA61" s="20">
        <v>3.1</v>
      </c>
      <c r="AB61" s="20">
        <v>1.8</v>
      </c>
      <c r="AC61" s="20">
        <v>3.6</v>
      </c>
      <c r="AD61" s="20">
        <v>2.5</v>
      </c>
      <c r="AE61" s="19">
        <v>-0.2</v>
      </c>
      <c r="AF61" s="19">
        <v>1</v>
      </c>
      <c r="AG61" s="19">
        <v>-0.5</v>
      </c>
      <c r="AH61" s="19">
        <v>1.6</v>
      </c>
      <c r="AI61" s="15">
        <v>5.5</v>
      </c>
      <c r="AJ61" s="15">
        <v>5.4</v>
      </c>
      <c r="AK61" s="15">
        <v>5.4</v>
      </c>
      <c r="AL61" s="15">
        <v>5.4</v>
      </c>
      <c r="AM61" s="15">
        <v>5.5</v>
      </c>
      <c r="AN61" s="19">
        <v>-0.1</v>
      </c>
      <c r="AO61" s="19">
        <v>-0.3</v>
      </c>
      <c r="AP61" s="19">
        <v>-0.3</v>
      </c>
      <c r="AQ61" s="19">
        <v>-0.3</v>
      </c>
    </row>
    <row r="62" spans="2:43">
      <c r="B62">
        <f t="shared" si="0"/>
        <v>1988</v>
      </c>
      <c r="C62">
        <f t="shared" si="1"/>
        <v>9</v>
      </c>
      <c r="D62" s="7">
        <v>32407</v>
      </c>
      <c r="E62" s="6">
        <v>32400</v>
      </c>
      <c r="F62" s="4">
        <v>1</v>
      </c>
      <c r="G62" s="4">
        <v>0</v>
      </c>
      <c r="H62" s="10" t="e">
        <v>#N/A</v>
      </c>
      <c r="I62" s="10" t="e">
        <v>#N/A</v>
      </c>
      <c r="J62" s="12">
        <v>92088</v>
      </c>
      <c r="K62" s="17">
        <v>32406</v>
      </c>
      <c r="L62" s="17">
        <v>32387</v>
      </c>
      <c r="M62" s="30">
        <v>32400</v>
      </c>
      <c r="N62" s="17">
        <v>32387</v>
      </c>
      <c r="O62" s="14">
        <v>0</v>
      </c>
      <c r="P62" s="18">
        <v>8.125</v>
      </c>
      <c r="Q62" s="20">
        <v>5.0999999999999996</v>
      </c>
      <c r="R62" s="20">
        <v>3.8</v>
      </c>
      <c r="S62" s="20">
        <v>4.4000000000000004</v>
      </c>
      <c r="T62" s="20">
        <v>3.9</v>
      </c>
      <c r="U62" s="20">
        <v>3.8</v>
      </c>
      <c r="V62" s="19">
        <v>1</v>
      </c>
      <c r="W62" s="19">
        <v>-0.2</v>
      </c>
      <c r="X62" s="19">
        <v>0.2</v>
      </c>
      <c r="Y62" s="19">
        <v>-0.1</v>
      </c>
      <c r="Z62" s="20">
        <v>3.3</v>
      </c>
      <c r="AA62" s="20">
        <v>2.5</v>
      </c>
      <c r="AB62" s="20">
        <v>1.6</v>
      </c>
      <c r="AC62" s="20">
        <v>4.4000000000000004</v>
      </c>
      <c r="AD62" s="20">
        <v>2.7</v>
      </c>
      <c r="AE62" s="19">
        <v>0.2</v>
      </c>
      <c r="AF62" s="19">
        <v>-0.6</v>
      </c>
      <c r="AG62" s="19">
        <v>-0.2</v>
      </c>
      <c r="AH62" s="19">
        <v>0.8</v>
      </c>
      <c r="AI62" s="15">
        <v>5.5</v>
      </c>
      <c r="AJ62" s="15">
        <v>5.5</v>
      </c>
      <c r="AK62" s="15">
        <v>5.5</v>
      </c>
      <c r="AL62" s="15">
        <v>5.5</v>
      </c>
      <c r="AM62" s="15">
        <v>5.6</v>
      </c>
      <c r="AN62" s="19">
        <v>0</v>
      </c>
      <c r="AO62" s="19">
        <v>0.1</v>
      </c>
      <c r="AP62" s="19">
        <v>0.1</v>
      </c>
      <c r="AQ62" s="19">
        <v>0.1</v>
      </c>
    </row>
    <row r="63" spans="2:43">
      <c r="B63">
        <f t="shared" si="0"/>
        <v>1988</v>
      </c>
      <c r="C63">
        <f t="shared" si="1"/>
        <v>11</v>
      </c>
      <c r="D63" s="7">
        <v>32449</v>
      </c>
      <c r="E63" s="6">
        <v>32442</v>
      </c>
      <c r="F63" s="4">
        <v>1</v>
      </c>
      <c r="G63" s="4">
        <v>0</v>
      </c>
      <c r="H63" s="10" t="e">
        <v>#N/A</v>
      </c>
      <c r="I63" s="10" t="e">
        <v>#N/A</v>
      </c>
      <c r="J63" s="12">
        <v>110188</v>
      </c>
      <c r="K63" s="17">
        <v>32448</v>
      </c>
      <c r="L63" s="17">
        <v>32478</v>
      </c>
      <c r="M63" s="30">
        <v>32442</v>
      </c>
      <c r="N63" s="17">
        <v>32478</v>
      </c>
      <c r="O63" s="14">
        <v>0</v>
      </c>
      <c r="P63" s="18">
        <v>8.25</v>
      </c>
      <c r="Q63" s="20">
        <v>4.4000000000000004</v>
      </c>
      <c r="R63" s="20">
        <v>5</v>
      </c>
      <c r="S63" s="20">
        <v>3.9</v>
      </c>
      <c r="T63" s="20">
        <v>3.8</v>
      </c>
      <c r="U63" s="20">
        <v>3.6</v>
      </c>
      <c r="V63" s="19">
        <v>0.6</v>
      </c>
      <c r="W63" s="19">
        <v>0.6</v>
      </c>
      <c r="X63" s="19">
        <v>0</v>
      </c>
      <c r="Y63" s="19">
        <v>0</v>
      </c>
      <c r="Z63" s="20">
        <v>2.2000000000000002</v>
      </c>
      <c r="AA63" s="20">
        <v>1.6</v>
      </c>
      <c r="AB63" s="20">
        <v>4.8</v>
      </c>
      <c r="AC63" s="20">
        <v>2.8</v>
      </c>
      <c r="AD63" s="20">
        <v>2.4</v>
      </c>
      <c r="AE63" s="19">
        <v>-0.3</v>
      </c>
      <c r="AF63" s="19">
        <v>0</v>
      </c>
      <c r="AG63" s="19">
        <v>0.4</v>
      </c>
      <c r="AH63" s="19">
        <v>0.1</v>
      </c>
      <c r="AI63" s="15">
        <v>5.5</v>
      </c>
      <c r="AJ63" s="15">
        <v>5.4</v>
      </c>
      <c r="AK63" s="15">
        <v>5.4</v>
      </c>
      <c r="AL63" s="15">
        <v>5.5</v>
      </c>
      <c r="AM63" s="15">
        <v>5.5</v>
      </c>
      <c r="AN63" s="19">
        <v>0</v>
      </c>
      <c r="AO63" s="19">
        <v>-0.1</v>
      </c>
      <c r="AP63" s="19">
        <v>-0.1</v>
      </c>
      <c r="AQ63" s="19">
        <v>-0.1</v>
      </c>
    </row>
    <row r="64" spans="2:43">
      <c r="B64">
        <f t="shared" si="0"/>
        <v>1988</v>
      </c>
      <c r="C64">
        <f t="shared" si="1"/>
        <v>11</v>
      </c>
      <c r="D64" s="7">
        <v>32457</v>
      </c>
      <c r="E64" s="67">
        <f>E63</f>
        <v>32442</v>
      </c>
      <c r="F64" s="4">
        <v>0</v>
      </c>
      <c r="G64" s="4">
        <v>0</v>
      </c>
      <c r="H64" s="10" t="e">
        <v>#N/A</v>
      </c>
      <c r="I64" s="10" t="e">
        <v>#N/A</v>
      </c>
      <c r="J64" s="12" t="e">
        <f>NA()</f>
        <v>#N/A</v>
      </c>
      <c r="K64" s="17" t="e">
        <v>#N/A</v>
      </c>
      <c r="L64" s="17" t="e">
        <v>#N/A</v>
      </c>
      <c r="M64" s="30" t="e">
        <v>#N/A</v>
      </c>
      <c r="N64" s="17" t="e">
        <v>#N/A</v>
      </c>
      <c r="O64" s="14" t="e">
        <v>#N/A</v>
      </c>
      <c r="P64" s="18" t="e">
        <v>#N/A</v>
      </c>
      <c r="Q64" s="68">
        <f>Q63</f>
        <v>4.4000000000000004</v>
      </c>
      <c r="R64" s="68">
        <f t="shared" ref="R64:R65" si="182">R63</f>
        <v>5</v>
      </c>
      <c r="S64" s="68">
        <f t="shared" ref="S64:S65" si="183">S63</f>
        <v>3.9</v>
      </c>
      <c r="T64" s="68">
        <f t="shared" ref="T64:T65" si="184">T63</f>
        <v>3.8</v>
      </c>
      <c r="U64" s="68">
        <f t="shared" ref="U64:U65" si="185">U63</f>
        <v>3.6</v>
      </c>
      <c r="V64" s="69">
        <v>0</v>
      </c>
      <c r="W64" s="69">
        <v>0</v>
      </c>
      <c r="X64" s="69">
        <v>0</v>
      </c>
      <c r="Y64" s="69">
        <v>0</v>
      </c>
      <c r="Z64" s="68">
        <f>Z63</f>
        <v>2.2000000000000002</v>
      </c>
      <c r="AA64" s="68">
        <f t="shared" ref="AA64:AA65" si="186">AA63</f>
        <v>1.6</v>
      </c>
      <c r="AB64" s="68">
        <f t="shared" ref="AB64:AB65" si="187">AB63</f>
        <v>4.8</v>
      </c>
      <c r="AC64" s="68">
        <f t="shared" ref="AC64:AC65" si="188">AC63</f>
        <v>2.8</v>
      </c>
      <c r="AD64" s="68">
        <f t="shared" ref="AD64:AD65" si="189">AD63</f>
        <v>2.4</v>
      </c>
      <c r="AE64" s="69">
        <v>0</v>
      </c>
      <c r="AF64" s="69">
        <v>0</v>
      </c>
      <c r="AG64" s="69">
        <v>0</v>
      </c>
      <c r="AH64" s="69">
        <v>0</v>
      </c>
      <c r="AI64" s="68">
        <f>AI63</f>
        <v>5.5</v>
      </c>
      <c r="AJ64" s="68">
        <f t="shared" ref="AJ64:AJ65" si="190">AJ63</f>
        <v>5.4</v>
      </c>
      <c r="AK64" s="68">
        <f t="shared" ref="AK64:AK65" si="191">AK63</f>
        <v>5.4</v>
      </c>
      <c r="AL64" s="68">
        <f t="shared" ref="AL64:AL65" si="192">AL63</f>
        <v>5.5</v>
      </c>
      <c r="AM64" s="68">
        <f t="shared" ref="AM64:AM65" si="193">AM63</f>
        <v>5.5</v>
      </c>
      <c r="AN64" s="69">
        <v>0</v>
      </c>
      <c r="AO64" s="69">
        <v>0</v>
      </c>
      <c r="AP64" s="69">
        <v>0</v>
      </c>
      <c r="AQ64" s="69">
        <v>0</v>
      </c>
    </row>
    <row r="65" spans="2:43">
      <c r="B65">
        <f t="shared" si="0"/>
        <v>1988</v>
      </c>
      <c r="C65">
        <f t="shared" si="1"/>
        <v>11</v>
      </c>
      <c r="D65" s="7">
        <v>32469</v>
      </c>
      <c r="E65" s="67">
        <f>E64</f>
        <v>32442</v>
      </c>
      <c r="F65" s="4">
        <v>1</v>
      </c>
      <c r="G65" s="4">
        <v>1</v>
      </c>
      <c r="H65" s="10" t="e">
        <v>#N/A</v>
      </c>
      <c r="I65" s="10" t="e">
        <v>#N/A</v>
      </c>
      <c r="J65" s="12" t="e">
        <f>NA()</f>
        <v>#N/A</v>
      </c>
      <c r="K65" s="17" t="e">
        <v>#N/A</v>
      </c>
      <c r="L65" s="17" t="e">
        <v>#N/A</v>
      </c>
      <c r="M65" s="30" t="e">
        <v>#N/A</v>
      </c>
      <c r="N65" s="17" t="e">
        <v>#N/A</v>
      </c>
      <c r="O65" s="14" t="e">
        <v>#N/A</v>
      </c>
      <c r="P65" s="18" t="e">
        <v>#N/A</v>
      </c>
      <c r="Q65" s="68">
        <f>Q64</f>
        <v>4.4000000000000004</v>
      </c>
      <c r="R65" s="68">
        <f t="shared" si="182"/>
        <v>5</v>
      </c>
      <c r="S65" s="68">
        <f t="shared" si="183"/>
        <v>3.9</v>
      </c>
      <c r="T65" s="68">
        <f t="shared" si="184"/>
        <v>3.8</v>
      </c>
      <c r="U65" s="68">
        <f t="shared" si="185"/>
        <v>3.6</v>
      </c>
      <c r="V65" s="69">
        <v>0</v>
      </c>
      <c r="W65" s="69">
        <v>0</v>
      </c>
      <c r="X65" s="69">
        <v>0</v>
      </c>
      <c r="Y65" s="69">
        <v>0</v>
      </c>
      <c r="Z65" s="68">
        <f>Z64</f>
        <v>2.2000000000000002</v>
      </c>
      <c r="AA65" s="68">
        <f t="shared" si="186"/>
        <v>1.6</v>
      </c>
      <c r="AB65" s="68">
        <f t="shared" si="187"/>
        <v>4.8</v>
      </c>
      <c r="AC65" s="68">
        <f t="shared" si="188"/>
        <v>2.8</v>
      </c>
      <c r="AD65" s="68">
        <f t="shared" si="189"/>
        <v>2.4</v>
      </c>
      <c r="AE65" s="69">
        <v>0</v>
      </c>
      <c r="AF65" s="69">
        <v>0</v>
      </c>
      <c r="AG65" s="69">
        <v>0</v>
      </c>
      <c r="AH65" s="69">
        <v>0</v>
      </c>
      <c r="AI65" s="68">
        <f>AI64</f>
        <v>5.5</v>
      </c>
      <c r="AJ65" s="68">
        <f t="shared" si="190"/>
        <v>5.4</v>
      </c>
      <c r="AK65" s="68">
        <f t="shared" si="191"/>
        <v>5.4</v>
      </c>
      <c r="AL65" s="68">
        <f t="shared" si="192"/>
        <v>5.5</v>
      </c>
      <c r="AM65" s="68">
        <f t="shared" si="193"/>
        <v>5.5</v>
      </c>
      <c r="AN65" s="69">
        <v>0</v>
      </c>
      <c r="AO65" s="69">
        <v>0</v>
      </c>
      <c r="AP65" s="69">
        <v>0</v>
      </c>
      <c r="AQ65" s="69">
        <v>0</v>
      </c>
    </row>
    <row r="66" spans="2:43">
      <c r="B66">
        <f t="shared" si="0"/>
        <v>1988</v>
      </c>
      <c r="C66">
        <f t="shared" si="1"/>
        <v>12</v>
      </c>
      <c r="D66" s="7">
        <v>32492</v>
      </c>
      <c r="E66" s="6">
        <v>32484</v>
      </c>
      <c r="F66" s="4">
        <v>1</v>
      </c>
      <c r="G66" s="4">
        <v>0</v>
      </c>
      <c r="H66" s="10" t="e">
        <v>#N/A</v>
      </c>
      <c r="I66" s="10" t="e">
        <v>#N/A</v>
      </c>
      <c r="J66" s="12">
        <v>121488</v>
      </c>
      <c r="K66" s="17">
        <v>32491</v>
      </c>
      <c r="L66" s="17">
        <v>32478</v>
      </c>
      <c r="M66" s="30">
        <v>32484</v>
      </c>
      <c r="N66" s="17">
        <v>32478</v>
      </c>
      <c r="O66" s="14">
        <v>0.5625</v>
      </c>
      <c r="P66" s="18">
        <v>8.4375</v>
      </c>
      <c r="Q66" s="20">
        <v>4.7</v>
      </c>
      <c r="R66" s="20">
        <v>4.5999999999999996</v>
      </c>
      <c r="S66" s="20">
        <v>2.9</v>
      </c>
      <c r="T66" s="20">
        <v>4.0999999999999996</v>
      </c>
      <c r="U66" s="20">
        <v>3.7</v>
      </c>
      <c r="V66" s="19">
        <v>0.3</v>
      </c>
      <c r="W66" s="19">
        <v>-0.4</v>
      </c>
      <c r="X66" s="19">
        <v>-1</v>
      </c>
      <c r="Y66" s="19">
        <v>0.3</v>
      </c>
      <c r="Z66" s="20">
        <v>2.6</v>
      </c>
      <c r="AA66" s="20">
        <v>2.2000000000000002</v>
      </c>
      <c r="AB66" s="20">
        <v>5.8</v>
      </c>
      <c r="AC66" s="20">
        <v>2.7</v>
      </c>
      <c r="AD66" s="20">
        <v>2.4</v>
      </c>
      <c r="AE66" s="19">
        <v>0.4</v>
      </c>
      <c r="AF66" s="19">
        <v>0.6</v>
      </c>
      <c r="AG66" s="19">
        <v>1</v>
      </c>
      <c r="AH66" s="19">
        <v>-0.1</v>
      </c>
      <c r="AI66" s="15">
        <v>5.5</v>
      </c>
      <c r="AJ66" s="15">
        <v>5.3</v>
      </c>
      <c r="AK66" s="15">
        <v>5.3</v>
      </c>
      <c r="AL66" s="15">
        <v>5.3</v>
      </c>
      <c r="AM66" s="15">
        <v>5.4</v>
      </c>
      <c r="AN66" s="19">
        <v>0</v>
      </c>
      <c r="AO66" s="19">
        <v>-0.1</v>
      </c>
      <c r="AP66" s="19">
        <v>-0.1</v>
      </c>
      <c r="AQ66" s="19">
        <v>-0.2</v>
      </c>
    </row>
    <row r="67" spans="2:43">
      <c r="B67">
        <f t="shared" ref="B67:B130" si="194">YEAR(D67)</f>
        <v>1989</v>
      </c>
      <c r="C67">
        <f t="shared" ref="C67:C130" si="195">MONTH(D67)</f>
        <v>1</v>
      </c>
      <c r="D67" s="7">
        <v>32513</v>
      </c>
      <c r="E67" s="67">
        <f>E66</f>
        <v>32484</v>
      </c>
      <c r="F67" s="4">
        <v>0</v>
      </c>
      <c r="G67" s="4">
        <v>0</v>
      </c>
      <c r="H67" s="10" t="e">
        <v>#N/A</v>
      </c>
      <c r="I67" s="10" t="e">
        <v>#N/A</v>
      </c>
      <c r="J67" s="12" t="e">
        <f>NA()</f>
        <v>#N/A</v>
      </c>
      <c r="K67" s="17" t="e">
        <v>#N/A</v>
      </c>
      <c r="L67" s="17" t="e">
        <v>#N/A</v>
      </c>
      <c r="M67" s="30" t="e">
        <v>#N/A</v>
      </c>
      <c r="N67" s="17" t="e">
        <v>#N/A</v>
      </c>
      <c r="O67" s="14" t="e">
        <v>#N/A</v>
      </c>
      <c r="P67" s="18" t="e">
        <v>#N/A</v>
      </c>
      <c r="Q67" s="68">
        <f>R66</f>
        <v>4.5999999999999996</v>
      </c>
      <c r="R67" s="68">
        <f>S66</f>
        <v>2.9</v>
      </c>
      <c r="S67" s="68">
        <f t="shared" ref="S67" si="196">T66</f>
        <v>4.0999999999999996</v>
      </c>
      <c r="T67" s="68">
        <f>U66</f>
        <v>3.7</v>
      </c>
      <c r="U67" s="70">
        <v>3.8</v>
      </c>
      <c r="V67" s="69">
        <v>0</v>
      </c>
      <c r="W67" s="69">
        <v>0</v>
      </c>
      <c r="X67" s="69">
        <v>0</v>
      </c>
      <c r="Y67" s="69">
        <v>0</v>
      </c>
      <c r="Z67" s="68">
        <f>AA66</f>
        <v>2.2000000000000002</v>
      </c>
      <c r="AA67" s="68">
        <f>AB66</f>
        <v>5.8</v>
      </c>
      <c r="AB67" s="68">
        <f t="shared" ref="AB67" si="197">AC66</f>
        <v>2.7</v>
      </c>
      <c r="AC67" s="68">
        <f>AD66</f>
        <v>2.4</v>
      </c>
      <c r="AD67" s="70">
        <v>2</v>
      </c>
      <c r="AE67" s="69">
        <v>0</v>
      </c>
      <c r="AF67" s="69">
        <v>0</v>
      </c>
      <c r="AG67" s="69">
        <v>0</v>
      </c>
      <c r="AH67" s="69">
        <v>0</v>
      </c>
      <c r="AI67" s="68">
        <f>AJ66</f>
        <v>5.3</v>
      </c>
      <c r="AJ67" s="68">
        <f>AK66</f>
        <v>5.3</v>
      </c>
      <c r="AK67" s="68">
        <f t="shared" ref="AK67" si="198">AL66</f>
        <v>5.3</v>
      </c>
      <c r="AL67" s="68">
        <f>AM66</f>
        <v>5.4</v>
      </c>
      <c r="AM67" s="70">
        <v>5.5</v>
      </c>
      <c r="AN67" s="69">
        <v>0</v>
      </c>
      <c r="AO67" s="69">
        <v>0</v>
      </c>
      <c r="AP67" s="69">
        <v>0</v>
      </c>
      <c r="AQ67" s="69">
        <v>0</v>
      </c>
    </row>
    <row r="68" spans="2:43">
      <c r="B68">
        <f t="shared" si="194"/>
        <v>1989</v>
      </c>
      <c r="C68">
        <f t="shared" si="195"/>
        <v>2</v>
      </c>
      <c r="D68" s="7">
        <v>32548</v>
      </c>
      <c r="E68" s="6">
        <v>32540</v>
      </c>
      <c r="F68" s="4">
        <v>1</v>
      </c>
      <c r="G68" s="4">
        <v>0</v>
      </c>
      <c r="H68" s="10" t="e">
        <v>#N/A</v>
      </c>
      <c r="I68" s="10" t="e">
        <v>#N/A</v>
      </c>
      <c r="J68" s="12">
        <v>20889</v>
      </c>
      <c r="K68" s="17">
        <v>32547</v>
      </c>
      <c r="L68" s="17">
        <v>32568</v>
      </c>
      <c r="M68" s="30">
        <v>32540</v>
      </c>
      <c r="N68" s="17">
        <v>32568</v>
      </c>
      <c r="O68" s="14">
        <v>0.1875</v>
      </c>
      <c r="P68" s="18">
        <v>9</v>
      </c>
      <c r="Q68" s="20">
        <v>4.7</v>
      </c>
      <c r="R68" s="20">
        <v>3.9</v>
      </c>
      <c r="S68" s="20">
        <v>4.4000000000000004</v>
      </c>
      <c r="T68" s="20">
        <v>3.7</v>
      </c>
      <c r="U68" s="20">
        <v>4</v>
      </c>
      <c r="V68" s="19">
        <v>0.1</v>
      </c>
      <c r="W68" s="19">
        <v>1</v>
      </c>
      <c r="X68" s="19">
        <v>0.3</v>
      </c>
      <c r="Y68" s="19">
        <v>0</v>
      </c>
      <c r="Z68" s="20">
        <v>2</v>
      </c>
      <c r="AA68" s="20">
        <v>5</v>
      </c>
      <c r="AB68" s="20">
        <v>2.8</v>
      </c>
      <c r="AC68" s="20">
        <v>2.4</v>
      </c>
      <c r="AD68" s="20">
        <v>2</v>
      </c>
      <c r="AE68" s="19">
        <v>-0.2</v>
      </c>
      <c r="AF68" s="19">
        <v>-0.8</v>
      </c>
      <c r="AG68" s="19">
        <v>0.1</v>
      </c>
      <c r="AH68" s="19">
        <v>0</v>
      </c>
      <c r="AI68" s="15">
        <v>5.3</v>
      </c>
      <c r="AJ68" s="15">
        <v>5.3</v>
      </c>
      <c r="AK68" s="15">
        <v>5.3</v>
      </c>
      <c r="AL68" s="15">
        <v>5.4</v>
      </c>
      <c r="AM68" s="15">
        <v>5.5</v>
      </c>
      <c r="AN68" s="19">
        <v>0</v>
      </c>
      <c r="AO68" s="19">
        <v>0</v>
      </c>
      <c r="AP68" s="19">
        <v>0</v>
      </c>
      <c r="AQ68" s="19">
        <v>0</v>
      </c>
    </row>
    <row r="69" spans="2:43">
      <c r="B69">
        <f t="shared" si="194"/>
        <v>1989</v>
      </c>
      <c r="C69">
        <f t="shared" si="195"/>
        <v>2</v>
      </c>
      <c r="D69" s="7">
        <v>32553</v>
      </c>
      <c r="E69" s="67">
        <f>E68</f>
        <v>32540</v>
      </c>
      <c r="F69" s="4">
        <v>0</v>
      </c>
      <c r="G69" s="4">
        <v>0</v>
      </c>
      <c r="H69" s="10" t="e">
        <v>#N/A</v>
      </c>
      <c r="I69" s="10" t="e">
        <v>#N/A</v>
      </c>
      <c r="J69" s="12" t="e">
        <f>NA()</f>
        <v>#N/A</v>
      </c>
      <c r="K69" s="17" t="e">
        <v>#N/A</v>
      </c>
      <c r="L69" s="17" t="e">
        <v>#N/A</v>
      </c>
      <c r="M69" s="30" t="e">
        <v>#N/A</v>
      </c>
      <c r="N69" s="17" t="e">
        <v>#N/A</v>
      </c>
      <c r="O69" s="14" t="e">
        <v>#N/A</v>
      </c>
      <c r="P69" s="18" t="e">
        <v>#N/A</v>
      </c>
      <c r="Q69" s="68">
        <f>Q68</f>
        <v>4.7</v>
      </c>
      <c r="R69" s="68">
        <f t="shared" ref="R69:R70" si="199">R68</f>
        <v>3.9</v>
      </c>
      <c r="S69" s="68">
        <f t="shared" ref="S69:S70" si="200">S68</f>
        <v>4.4000000000000004</v>
      </c>
      <c r="T69" s="68">
        <f t="shared" ref="T69:T70" si="201">T68</f>
        <v>3.7</v>
      </c>
      <c r="U69" s="68">
        <f t="shared" ref="U69:U70" si="202">U68</f>
        <v>4</v>
      </c>
      <c r="V69" s="69">
        <v>0</v>
      </c>
      <c r="W69" s="69">
        <v>0</v>
      </c>
      <c r="X69" s="69">
        <v>0</v>
      </c>
      <c r="Y69" s="69">
        <v>0</v>
      </c>
      <c r="Z69" s="68">
        <f>Z68</f>
        <v>2</v>
      </c>
      <c r="AA69" s="68">
        <f t="shared" ref="AA69:AA70" si="203">AA68</f>
        <v>5</v>
      </c>
      <c r="AB69" s="68">
        <f t="shared" ref="AB69:AB70" si="204">AB68</f>
        <v>2.8</v>
      </c>
      <c r="AC69" s="68">
        <f t="shared" ref="AC69:AC70" si="205">AC68</f>
        <v>2.4</v>
      </c>
      <c r="AD69" s="68">
        <f t="shared" ref="AD69:AD70" si="206">AD68</f>
        <v>2</v>
      </c>
      <c r="AE69" s="69">
        <v>0</v>
      </c>
      <c r="AF69" s="69">
        <v>0</v>
      </c>
      <c r="AG69" s="69">
        <v>0</v>
      </c>
      <c r="AH69" s="69">
        <v>0</v>
      </c>
      <c r="AI69" s="68">
        <f>AI68</f>
        <v>5.3</v>
      </c>
      <c r="AJ69" s="68">
        <f t="shared" ref="AJ69:AJ70" si="207">AJ68</f>
        <v>5.3</v>
      </c>
      <c r="AK69" s="68">
        <f t="shared" ref="AK69:AK70" si="208">AK68</f>
        <v>5.3</v>
      </c>
      <c r="AL69" s="68">
        <f t="shared" ref="AL69:AL70" si="209">AL68</f>
        <v>5.4</v>
      </c>
      <c r="AM69" s="68">
        <f t="shared" ref="AM69:AM70" si="210">AM68</f>
        <v>5.5</v>
      </c>
      <c r="AN69" s="69">
        <v>0</v>
      </c>
      <c r="AO69" s="69">
        <v>0</v>
      </c>
      <c r="AP69" s="69">
        <v>0</v>
      </c>
      <c r="AQ69" s="69">
        <v>0</v>
      </c>
    </row>
    <row r="70" spans="2:43">
      <c r="B70">
        <f t="shared" si="194"/>
        <v>1989</v>
      </c>
      <c r="C70">
        <f t="shared" si="195"/>
        <v>2</v>
      </c>
      <c r="D70" s="7">
        <v>32563</v>
      </c>
      <c r="E70" s="67">
        <f>E69</f>
        <v>32540</v>
      </c>
      <c r="F70" s="4">
        <v>0</v>
      </c>
      <c r="G70" s="4">
        <v>0</v>
      </c>
      <c r="H70" s="10" t="e">
        <v>#N/A</v>
      </c>
      <c r="I70" s="10" t="e">
        <v>#N/A</v>
      </c>
      <c r="J70" s="12" t="e">
        <f>NA()</f>
        <v>#N/A</v>
      </c>
      <c r="K70" s="17" t="e">
        <v>#N/A</v>
      </c>
      <c r="L70" s="17" t="e">
        <v>#N/A</v>
      </c>
      <c r="M70" s="30" t="e">
        <v>#N/A</v>
      </c>
      <c r="N70" s="17" t="e">
        <v>#N/A</v>
      </c>
      <c r="O70" s="14" t="e">
        <v>#N/A</v>
      </c>
      <c r="P70" s="18" t="e">
        <v>#N/A</v>
      </c>
      <c r="Q70" s="68">
        <f>Q69</f>
        <v>4.7</v>
      </c>
      <c r="R70" s="68">
        <f t="shared" si="199"/>
        <v>3.9</v>
      </c>
      <c r="S70" s="68">
        <f t="shared" si="200"/>
        <v>4.4000000000000004</v>
      </c>
      <c r="T70" s="68">
        <f t="shared" si="201"/>
        <v>3.7</v>
      </c>
      <c r="U70" s="68">
        <f t="shared" si="202"/>
        <v>4</v>
      </c>
      <c r="V70" s="69">
        <v>0</v>
      </c>
      <c r="W70" s="69">
        <v>0</v>
      </c>
      <c r="X70" s="69">
        <v>0</v>
      </c>
      <c r="Y70" s="69">
        <v>0</v>
      </c>
      <c r="Z70" s="68">
        <f>Z69</f>
        <v>2</v>
      </c>
      <c r="AA70" s="68">
        <f t="shared" si="203"/>
        <v>5</v>
      </c>
      <c r="AB70" s="68">
        <f t="shared" si="204"/>
        <v>2.8</v>
      </c>
      <c r="AC70" s="68">
        <f t="shared" si="205"/>
        <v>2.4</v>
      </c>
      <c r="AD70" s="68">
        <f t="shared" si="206"/>
        <v>2</v>
      </c>
      <c r="AE70" s="69">
        <v>0</v>
      </c>
      <c r="AF70" s="69">
        <v>0</v>
      </c>
      <c r="AG70" s="69">
        <v>0</v>
      </c>
      <c r="AH70" s="69">
        <v>0</v>
      </c>
      <c r="AI70" s="68">
        <f>AI69</f>
        <v>5.3</v>
      </c>
      <c r="AJ70" s="68">
        <f t="shared" si="207"/>
        <v>5.3</v>
      </c>
      <c r="AK70" s="68">
        <f t="shared" si="208"/>
        <v>5.3</v>
      </c>
      <c r="AL70" s="68">
        <f t="shared" si="209"/>
        <v>5.4</v>
      </c>
      <c r="AM70" s="68">
        <f t="shared" si="210"/>
        <v>5.5</v>
      </c>
      <c r="AN70" s="69">
        <v>0</v>
      </c>
      <c r="AO70" s="69">
        <v>0</v>
      </c>
      <c r="AP70" s="69">
        <v>0</v>
      </c>
      <c r="AQ70" s="69">
        <v>0</v>
      </c>
    </row>
    <row r="71" spans="2:43">
      <c r="B71">
        <f t="shared" si="194"/>
        <v>1989</v>
      </c>
      <c r="C71">
        <f t="shared" si="195"/>
        <v>3</v>
      </c>
      <c r="D71" s="7">
        <v>32596</v>
      </c>
      <c r="E71" s="6">
        <v>32589</v>
      </c>
      <c r="F71" s="4">
        <v>1</v>
      </c>
      <c r="G71" s="4">
        <v>0</v>
      </c>
      <c r="H71" s="10" t="e">
        <v>#N/A</v>
      </c>
      <c r="I71" s="10" t="e">
        <v>#N/A</v>
      </c>
      <c r="J71" s="12">
        <v>32889</v>
      </c>
      <c r="K71" s="17">
        <v>32595</v>
      </c>
      <c r="L71" s="17">
        <v>32568</v>
      </c>
      <c r="M71" s="30">
        <v>32589</v>
      </c>
      <c r="N71" s="17">
        <v>32568</v>
      </c>
      <c r="O71" s="14">
        <v>0.125</v>
      </c>
      <c r="P71" s="18">
        <v>9.75</v>
      </c>
      <c r="Q71" s="20">
        <v>5.3</v>
      </c>
      <c r="R71" s="20">
        <v>3.9</v>
      </c>
      <c r="S71" s="20">
        <v>4.7</v>
      </c>
      <c r="T71" s="20">
        <v>4.3</v>
      </c>
      <c r="U71" s="20">
        <v>4.2</v>
      </c>
      <c r="V71" s="19">
        <v>0.6</v>
      </c>
      <c r="W71" s="19">
        <v>0</v>
      </c>
      <c r="X71" s="19">
        <v>0.3</v>
      </c>
      <c r="Y71" s="19">
        <v>0.6</v>
      </c>
      <c r="Z71" s="20">
        <v>2</v>
      </c>
      <c r="AA71" s="20">
        <v>5.2</v>
      </c>
      <c r="AB71" s="20">
        <v>3</v>
      </c>
      <c r="AC71" s="20">
        <v>2</v>
      </c>
      <c r="AD71" s="20">
        <v>1.6</v>
      </c>
      <c r="AE71" s="19">
        <v>0</v>
      </c>
      <c r="AF71" s="19">
        <v>0.2</v>
      </c>
      <c r="AG71" s="19">
        <v>0.2</v>
      </c>
      <c r="AH71" s="19">
        <v>-0.4</v>
      </c>
      <c r="AI71" s="15">
        <v>5.3</v>
      </c>
      <c r="AJ71" s="15">
        <v>5.2</v>
      </c>
      <c r="AK71" s="15">
        <v>5.2</v>
      </c>
      <c r="AL71" s="15">
        <v>5.3</v>
      </c>
      <c r="AM71" s="15">
        <v>5.4</v>
      </c>
      <c r="AN71" s="19">
        <v>0</v>
      </c>
      <c r="AO71" s="19">
        <v>-0.1</v>
      </c>
      <c r="AP71" s="19">
        <v>-0.1</v>
      </c>
      <c r="AQ71" s="19">
        <v>-0.1</v>
      </c>
    </row>
    <row r="72" spans="2:43">
      <c r="B72">
        <f t="shared" si="194"/>
        <v>1989</v>
      </c>
      <c r="C72">
        <f t="shared" si="195"/>
        <v>5</v>
      </c>
      <c r="D72" s="7">
        <v>32645</v>
      </c>
      <c r="E72" s="6">
        <v>32638</v>
      </c>
      <c r="F72" s="4">
        <v>1</v>
      </c>
      <c r="G72" s="4">
        <v>0</v>
      </c>
      <c r="H72" s="10" t="e">
        <v>#N/A</v>
      </c>
      <c r="I72" s="10" t="e">
        <v>#N/A</v>
      </c>
      <c r="J72" s="12">
        <v>51689</v>
      </c>
      <c r="K72" s="17">
        <v>32644</v>
      </c>
      <c r="L72" s="17">
        <v>32660</v>
      </c>
      <c r="M72" s="30">
        <v>32638</v>
      </c>
      <c r="N72" s="17">
        <v>32660</v>
      </c>
      <c r="O72" s="14">
        <v>0</v>
      </c>
      <c r="P72" s="18">
        <v>9.8125</v>
      </c>
      <c r="Q72" s="20">
        <v>3.9</v>
      </c>
      <c r="R72" s="20">
        <v>4.8</v>
      </c>
      <c r="S72" s="20">
        <v>4.0999999999999996</v>
      </c>
      <c r="T72" s="20">
        <v>3.9</v>
      </c>
      <c r="U72" s="20">
        <v>5.0999999999999996</v>
      </c>
      <c r="V72" s="19">
        <v>0</v>
      </c>
      <c r="W72" s="19">
        <v>0.1</v>
      </c>
      <c r="X72" s="19">
        <v>-0.2</v>
      </c>
      <c r="Y72" s="19">
        <v>-0.3</v>
      </c>
      <c r="Z72" s="20">
        <v>5.5</v>
      </c>
      <c r="AA72" s="20">
        <v>2.2999999999999998</v>
      </c>
      <c r="AB72" s="20">
        <v>2</v>
      </c>
      <c r="AC72" s="20">
        <v>1.6</v>
      </c>
      <c r="AD72" s="20">
        <v>1.2</v>
      </c>
      <c r="AE72" s="19">
        <v>0.3</v>
      </c>
      <c r="AF72" s="19">
        <v>-0.7</v>
      </c>
      <c r="AG72" s="19">
        <v>0</v>
      </c>
      <c r="AH72" s="19">
        <v>0</v>
      </c>
      <c r="AI72" s="15">
        <v>5.2</v>
      </c>
      <c r="AJ72" s="15">
        <v>5.3</v>
      </c>
      <c r="AK72" s="15">
        <v>5.3</v>
      </c>
      <c r="AL72" s="15">
        <v>5.4</v>
      </c>
      <c r="AM72" s="15">
        <v>5.5</v>
      </c>
      <c r="AN72" s="19">
        <v>0</v>
      </c>
      <c r="AO72" s="19">
        <v>0.1</v>
      </c>
      <c r="AP72" s="19">
        <v>0</v>
      </c>
      <c r="AQ72" s="19">
        <v>0</v>
      </c>
    </row>
    <row r="73" spans="2:43">
      <c r="B73">
        <f t="shared" si="194"/>
        <v>1989</v>
      </c>
      <c r="C73">
        <f t="shared" si="195"/>
        <v>6</v>
      </c>
      <c r="D73" s="7">
        <v>32665</v>
      </c>
      <c r="E73" s="67">
        <f>E72</f>
        <v>32638</v>
      </c>
      <c r="F73" s="4">
        <v>1</v>
      </c>
      <c r="G73" s="4">
        <v>1</v>
      </c>
      <c r="H73" s="10" t="e">
        <v>#N/A</v>
      </c>
      <c r="I73" s="10" t="e">
        <v>#N/A</v>
      </c>
      <c r="J73" s="12" t="e">
        <f>NA()</f>
        <v>#N/A</v>
      </c>
      <c r="K73" s="17" t="e">
        <v>#N/A</v>
      </c>
      <c r="L73" s="17" t="e">
        <v>#N/A</v>
      </c>
      <c r="M73" s="30" t="e">
        <v>#N/A</v>
      </c>
      <c r="N73" s="17" t="e">
        <v>#N/A</v>
      </c>
      <c r="O73" s="14" t="e">
        <v>#N/A</v>
      </c>
      <c r="P73" s="18" t="e">
        <v>#N/A</v>
      </c>
      <c r="Q73" s="68">
        <f>R72</f>
        <v>4.8</v>
      </c>
      <c r="R73" s="68">
        <f>S72</f>
        <v>4.0999999999999996</v>
      </c>
      <c r="S73" s="68">
        <f t="shared" ref="S73" si="211">T72</f>
        <v>3.9</v>
      </c>
      <c r="T73" s="68">
        <f>U72</f>
        <v>5.0999999999999996</v>
      </c>
      <c r="U73" s="70">
        <v>4.5</v>
      </c>
      <c r="V73" s="69">
        <v>0</v>
      </c>
      <c r="W73" s="69">
        <v>0</v>
      </c>
      <c r="X73" s="69">
        <v>0</v>
      </c>
      <c r="Y73" s="69">
        <v>0</v>
      </c>
      <c r="Z73" s="68">
        <f>AA72</f>
        <v>2.2999999999999998</v>
      </c>
      <c r="AA73" s="68">
        <f>AB72</f>
        <v>2</v>
      </c>
      <c r="AB73" s="68">
        <f t="shared" ref="AB73" si="212">AC72</f>
        <v>1.6</v>
      </c>
      <c r="AC73" s="68">
        <f>AD72</f>
        <v>1.2</v>
      </c>
      <c r="AD73" s="70">
        <v>0.6</v>
      </c>
      <c r="AE73" s="69">
        <v>0</v>
      </c>
      <c r="AF73" s="69">
        <v>0</v>
      </c>
      <c r="AG73" s="69">
        <v>0</v>
      </c>
      <c r="AH73" s="69">
        <v>0</v>
      </c>
      <c r="AI73" s="68">
        <f>AJ72</f>
        <v>5.3</v>
      </c>
      <c r="AJ73" s="68">
        <f>AK72</f>
        <v>5.3</v>
      </c>
      <c r="AK73" s="68">
        <f t="shared" ref="AK73" si="213">AL72</f>
        <v>5.4</v>
      </c>
      <c r="AL73" s="68">
        <f>AM72</f>
        <v>5.5</v>
      </c>
      <c r="AM73" s="70">
        <v>5.7</v>
      </c>
      <c r="AN73" s="69">
        <v>0</v>
      </c>
      <c r="AO73" s="69">
        <v>0</v>
      </c>
      <c r="AP73" s="69">
        <v>0</v>
      </c>
      <c r="AQ73" s="69">
        <v>0</v>
      </c>
    </row>
    <row r="74" spans="2:43">
      <c r="B74">
        <f t="shared" si="194"/>
        <v>1989</v>
      </c>
      <c r="C74">
        <f t="shared" si="195"/>
        <v>7</v>
      </c>
      <c r="D74" s="7">
        <v>32696</v>
      </c>
      <c r="E74" s="6">
        <v>32687</v>
      </c>
      <c r="F74" s="4">
        <v>1</v>
      </c>
      <c r="G74" s="4">
        <v>0</v>
      </c>
      <c r="H74" s="10" t="e">
        <v>#N/A</v>
      </c>
      <c r="I74" s="10" t="e">
        <v>#N/A</v>
      </c>
      <c r="J74" s="12">
        <v>70689</v>
      </c>
      <c r="K74" s="17">
        <v>32695</v>
      </c>
      <c r="L74" s="17">
        <v>32752</v>
      </c>
      <c r="M74" s="30">
        <v>32687</v>
      </c>
      <c r="N74" s="17">
        <v>32660</v>
      </c>
      <c r="O74" s="14">
        <v>-0.25</v>
      </c>
      <c r="P74" s="18">
        <v>9.5625</v>
      </c>
      <c r="Q74" s="20">
        <v>3.6</v>
      </c>
      <c r="R74" s="20">
        <v>5.4</v>
      </c>
      <c r="S74" s="20">
        <v>3.5</v>
      </c>
      <c r="T74" s="20">
        <v>3.8</v>
      </c>
      <c r="U74" s="20">
        <v>4.5999999999999996</v>
      </c>
      <c r="V74" s="19">
        <v>-0.3</v>
      </c>
      <c r="W74" s="19">
        <v>0.6</v>
      </c>
      <c r="X74" s="19">
        <v>-0.6</v>
      </c>
      <c r="Y74" s="19">
        <v>-0.1</v>
      </c>
      <c r="Z74" s="20">
        <v>4.4000000000000004</v>
      </c>
      <c r="AA74" s="20">
        <v>1.7</v>
      </c>
      <c r="AB74" s="20">
        <v>1.5</v>
      </c>
      <c r="AC74" s="20">
        <v>1.3</v>
      </c>
      <c r="AD74" s="20">
        <v>1.2</v>
      </c>
      <c r="AE74" s="19">
        <v>-1.1000000000000001</v>
      </c>
      <c r="AF74" s="19">
        <v>-0.6</v>
      </c>
      <c r="AG74" s="19">
        <v>-0.5</v>
      </c>
      <c r="AH74" s="19">
        <v>-0.3</v>
      </c>
      <c r="AI74" s="15">
        <v>5.2</v>
      </c>
      <c r="AJ74" s="15">
        <v>5.3</v>
      </c>
      <c r="AK74" s="15">
        <v>5.4</v>
      </c>
      <c r="AL74" s="15">
        <v>5.6</v>
      </c>
      <c r="AM74" s="15">
        <v>5.8</v>
      </c>
      <c r="AN74" s="19">
        <v>0</v>
      </c>
      <c r="AO74" s="19">
        <v>0</v>
      </c>
      <c r="AP74" s="19">
        <v>0.1</v>
      </c>
      <c r="AQ74" s="19">
        <v>0.2</v>
      </c>
    </row>
    <row r="75" spans="2:43">
      <c r="B75">
        <f t="shared" si="194"/>
        <v>1989</v>
      </c>
      <c r="C75">
        <f t="shared" si="195"/>
        <v>7</v>
      </c>
      <c r="D75" s="7">
        <v>32715</v>
      </c>
      <c r="E75" s="67">
        <f>E74</f>
        <v>32687</v>
      </c>
      <c r="F75" s="4">
        <v>1</v>
      </c>
      <c r="G75" s="4">
        <v>1</v>
      </c>
      <c r="H75" s="10" t="e">
        <v>#N/A</v>
      </c>
      <c r="I75" s="10" t="e">
        <v>#N/A</v>
      </c>
      <c r="J75" s="12" t="e">
        <f>NA()</f>
        <v>#N/A</v>
      </c>
      <c r="K75" s="17" t="e">
        <v>#N/A</v>
      </c>
      <c r="L75" s="17" t="e">
        <v>#N/A</v>
      </c>
      <c r="M75" s="30" t="e">
        <v>#N/A</v>
      </c>
      <c r="N75" s="17" t="e">
        <v>#N/A</v>
      </c>
      <c r="O75" s="14" t="e">
        <v>#N/A</v>
      </c>
      <c r="P75" s="18" t="e">
        <v>#N/A</v>
      </c>
      <c r="Q75" s="68">
        <f>Q74</f>
        <v>3.6</v>
      </c>
      <c r="R75" s="68">
        <f t="shared" ref="R75" si="214">R74</f>
        <v>5.4</v>
      </c>
      <c r="S75" s="68">
        <f t="shared" ref="S75" si="215">S74</f>
        <v>3.5</v>
      </c>
      <c r="T75" s="68">
        <f t="shared" ref="T75" si="216">T74</f>
        <v>3.8</v>
      </c>
      <c r="U75" s="68">
        <f t="shared" ref="U75" si="217">U74</f>
        <v>4.5999999999999996</v>
      </c>
      <c r="V75" s="69">
        <v>0</v>
      </c>
      <c r="W75" s="69">
        <v>0</v>
      </c>
      <c r="X75" s="69">
        <v>0</v>
      </c>
      <c r="Y75" s="69">
        <v>0</v>
      </c>
      <c r="Z75" s="68">
        <f>Z74</f>
        <v>4.4000000000000004</v>
      </c>
      <c r="AA75" s="68">
        <f t="shared" ref="AA75" si="218">AA74</f>
        <v>1.7</v>
      </c>
      <c r="AB75" s="68">
        <f t="shared" ref="AB75" si="219">AB74</f>
        <v>1.5</v>
      </c>
      <c r="AC75" s="68">
        <f t="shared" ref="AC75" si="220">AC74</f>
        <v>1.3</v>
      </c>
      <c r="AD75" s="68">
        <f t="shared" ref="AD75" si="221">AD74</f>
        <v>1.2</v>
      </c>
      <c r="AE75" s="69">
        <v>0</v>
      </c>
      <c r="AF75" s="69">
        <v>0</v>
      </c>
      <c r="AG75" s="69">
        <v>0</v>
      </c>
      <c r="AH75" s="69">
        <v>0</v>
      </c>
      <c r="AI75" s="68">
        <f>AI74</f>
        <v>5.2</v>
      </c>
      <c r="AJ75" s="68">
        <f t="shared" ref="AJ75" si="222">AJ74</f>
        <v>5.3</v>
      </c>
      <c r="AK75" s="68">
        <f t="shared" ref="AK75" si="223">AK74</f>
        <v>5.4</v>
      </c>
      <c r="AL75" s="68">
        <f t="shared" ref="AL75" si="224">AL74</f>
        <v>5.6</v>
      </c>
      <c r="AM75" s="68">
        <f t="shared" ref="AM75" si="225">AM74</f>
        <v>5.8</v>
      </c>
      <c r="AN75" s="69">
        <v>0</v>
      </c>
      <c r="AO75" s="69">
        <v>0</v>
      </c>
      <c r="AP75" s="69">
        <v>0</v>
      </c>
      <c r="AQ75" s="69">
        <v>0</v>
      </c>
    </row>
    <row r="76" spans="2:43">
      <c r="B76">
        <f t="shared" si="194"/>
        <v>1989</v>
      </c>
      <c r="C76">
        <f t="shared" si="195"/>
        <v>8</v>
      </c>
      <c r="D76" s="7">
        <v>32743</v>
      </c>
      <c r="E76" s="6">
        <v>32736</v>
      </c>
      <c r="F76" s="4">
        <v>1</v>
      </c>
      <c r="G76" s="4">
        <v>0</v>
      </c>
      <c r="H76" s="10" t="e">
        <v>#N/A</v>
      </c>
      <c r="I76" s="10" t="e">
        <v>#N/A</v>
      </c>
      <c r="J76" s="12">
        <v>82289</v>
      </c>
      <c r="K76" s="17">
        <v>32742</v>
      </c>
      <c r="L76" s="17">
        <v>32752</v>
      </c>
      <c r="M76" s="30">
        <v>32736</v>
      </c>
      <c r="N76" s="17">
        <v>32752</v>
      </c>
      <c r="O76" s="14">
        <v>0</v>
      </c>
      <c r="P76" s="18">
        <v>9.0625</v>
      </c>
      <c r="Q76" s="20">
        <v>4.9000000000000004</v>
      </c>
      <c r="R76" s="20">
        <v>3.4</v>
      </c>
      <c r="S76" s="20">
        <v>3.7</v>
      </c>
      <c r="T76" s="20">
        <v>4.5999999999999996</v>
      </c>
      <c r="U76" s="20">
        <v>4.2</v>
      </c>
      <c r="V76" s="19">
        <v>-0.5</v>
      </c>
      <c r="W76" s="19">
        <v>-0.1</v>
      </c>
      <c r="X76" s="19">
        <v>-0.1</v>
      </c>
      <c r="Y76" s="19">
        <v>0</v>
      </c>
      <c r="Z76" s="20">
        <v>1.7</v>
      </c>
      <c r="AA76" s="20">
        <v>2.2000000000000002</v>
      </c>
      <c r="AB76" s="20">
        <v>2.1</v>
      </c>
      <c r="AC76" s="20">
        <v>1.8</v>
      </c>
      <c r="AD76" s="20">
        <v>1.7</v>
      </c>
      <c r="AE76" s="19">
        <v>0</v>
      </c>
      <c r="AF76" s="19">
        <v>0.7</v>
      </c>
      <c r="AG76" s="19">
        <v>0.8</v>
      </c>
      <c r="AH76" s="19">
        <v>0.6</v>
      </c>
      <c r="AI76" s="15">
        <v>5.3</v>
      </c>
      <c r="AJ76" s="15">
        <v>5.3</v>
      </c>
      <c r="AK76" s="15">
        <v>5.3</v>
      </c>
      <c r="AL76" s="15">
        <v>5.4</v>
      </c>
      <c r="AM76" s="15">
        <v>5.5</v>
      </c>
      <c r="AN76" s="19">
        <v>0</v>
      </c>
      <c r="AO76" s="19">
        <v>-0.1</v>
      </c>
      <c r="AP76" s="19">
        <v>-0.3</v>
      </c>
      <c r="AQ76" s="19">
        <v>-0.4</v>
      </c>
    </row>
    <row r="77" spans="2:43">
      <c r="B77">
        <f t="shared" si="194"/>
        <v>1989</v>
      </c>
      <c r="C77">
        <f t="shared" si="195"/>
        <v>10</v>
      </c>
      <c r="D77" s="7">
        <v>32785</v>
      </c>
      <c r="E77" s="6">
        <v>32778</v>
      </c>
      <c r="F77" s="4">
        <v>1</v>
      </c>
      <c r="G77" s="4">
        <v>0</v>
      </c>
      <c r="H77" s="10" t="e">
        <v>#N/A</v>
      </c>
      <c r="I77" s="10" t="e">
        <v>#N/A</v>
      </c>
      <c r="J77" s="12">
        <v>100389</v>
      </c>
      <c r="K77" s="17">
        <v>32784</v>
      </c>
      <c r="L77" s="17">
        <v>32843</v>
      </c>
      <c r="M77" s="30">
        <v>32778</v>
      </c>
      <c r="N77" s="17">
        <v>32752</v>
      </c>
      <c r="O77" s="14">
        <v>0</v>
      </c>
      <c r="P77" s="18">
        <v>9</v>
      </c>
      <c r="Q77" s="20">
        <v>4.5999999999999996</v>
      </c>
      <c r="R77" s="20">
        <v>3.4</v>
      </c>
      <c r="S77" s="20">
        <v>3.1</v>
      </c>
      <c r="T77" s="20">
        <v>4.5</v>
      </c>
      <c r="U77" s="20">
        <v>4.0999999999999996</v>
      </c>
      <c r="V77" s="19">
        <v>-0.3</v>
      </c>
      <c r="W77" s="19">
        <v>0</v>
      </c>
      <c r="X77" s="19">
        <v>-0.6</v>
      </c>
      <c r="Y77" s="19">
        <v>-0.1</v>
      </c>
      <c r="Z77" s="20">
        <v>2.5</v>
      </c>
      <c r="AA77" s="20">
        <v>2.5</v>
      </c>
      <c r="AB77" s="20">
        <v>2.1</v>
      </c>
      <c r="AC77" s="20">
        <v>1.8</v>
      </c>
      <c r="AD77" s="20">
        <v>1.5</v>
      </c>
      <c r="AE77" s="19">
        <v>0.8</v>
      </c>
      <c r="AF77" s="19">
        <v>0.3</v>
      </c>
      <c r="AG77" s="19">
        <v>0</v>
      </c>
      <c r="AH77" s="19">
        <v>0</v>
      </c>
      <c r="AI77" s="15">
        <v>5.3</v>
      </c>
      <c r="AJ77" s="15">
        <v>5.2</v>
      </c>
      <c r="AK77" s="15">
        <v>5.3</v>
      </c>
      <c r="AL77" s="15">
        <v>5.4</v>
      </c>
      <c r="AM77" s="15">
        <v>5.5</v>
      </c>
      <c r="AN77" s="19">
        <v>0</v>
      </c>
      <c r="AO77" s="19">
        <v>-0.1</v>
      </c>
      <c r="AP77" s="19">
        <v>0</v>
      </c>
      <c r="AQ77" s="19">
        <v>0</v>
      </c>
    </row>
    <row r="78" spans="2:43">
      <c r="B78">
        <f t="shared" si="194"/>
        <v>1989</v>
      </c>
      <c r="C78">
        <f t="shared" si="195"/>
        <v>10</v>
      </c>
      <c r="D78" s="7">
        <v>32797</v>
      </c>
      <c r="E78" s="67">
        <f>E77</f>
        <v>32778</v>
      </c>
      <c r="F78" s="4">
        <v>1</v>
      </c>
      <c r="G78" s="4">
        <v>1</v>
      </c>
      <c r="H78" s="10" t="e">
        <v>#N/A</v>
      </c>
      <c r="I78" s="10" t="e">
        <v>#N/A</v>
      </c>
      <c r="J78" s="12" t="e">
        <f>NA()</f>
        <v>#N/A</v>
      </c>
      <c r="K78" s="17" t="e">
        <v>#N/A</v>
      </c>
      <c r="L78" s="17" t="e">
        <v>#N/A</v>
      </c>
      <c r="M78" s="30" t="e">
        <v>#N/A</v>
      </c>
      <c r="N78" s="17" t="e">
        <v>#N/A</v>
      </c>
      <c r="O78" s="14" t="e">
        <v>#N/A</v>
      </c>
      <c r="P78" s="18" t="e">
        <v>#N/A</v>
      </c>
      <c r="Q78" s="68">
        <f>Q77</f>
        <v>4.5999999999999996</v>
      </c>
      <c r="R78" s="68">
        <f t="shared" ref="R78:R79" si="226">R77</f>
        <v>3.4</v>
      </c>
      <c r="S78" s="68">
        <f t="shared" ref="S78:S79" si="227">S77</f>
        <v>3.1</v>
      </c>
      <c r="T78" s="68">
        <f t="shared" ref="T78:T79" si="228">T77</f>
        <v>4.5</v>
      </c>
      <c r="U78" s="68">
        <f t="shared" ref="U78:U79" si="229">U77</f>
        <v>4.0999999999999996</v>
      </c>
      <c r="V78" s="69">
        <v>0</v>
      </c>
      <c r="W78" s="69">
        <v>0</v>
      </c>
      <c r="X78" s="69">
        <v>0</v>
      </c>
      <c r="Y78" s="69">
        <v>0</v>
      </c>
      <c r="Z78" s="68">
        <f>Z77</f>
        <v>2.5</v>
      </c>
      <c r="AA78" s="68">
        <f t="shared" ref="AA78:AA79" si="230">AA77</f>
        <v>2.5</v>
      </c>
      <c r="AB78" s="68">
        <f t="shared" ref="AB78:AB79" si="231">AB77</f>
        <v>2.1</v>
      </c>
      <c r="AC78" s="68">
        <f t="shared" ref="AC78:AC79" si="232">AC77</f>
        <v>1.8</v>
      </c>
      <c r="AD78" s="68">
        <f t="shared" ref="AD78:AD79" si="233">AD77</f>
        <v>1.5</v>
      </c>
      <c r="AE78" s="69">
        <v>0</v>
      </c>
      <c r="AF78" s="69">
        <v>0</v>
      </c>
      <c r="AG78" s="69">
        <v>0</v>
      </c>
      <c r="AH78" s="69">
        <v>0</v>
      </c>
      <c r="AI78" s="68">
        <f>AI77</f>
        <v>5.3</v>
      </c>
      <c r="AJ78" s="68">
        <f t="shared" ref="AJ78:AJ79" si="234">AJ77</f>
        <v>5.2</v>
      </c>
      <c r="AK78" s="68">
        <f t="shared" ref="AK78:AK79" si="235">AK77</f>
        <v>5.3</v>
      </c>
      <c r="AL78" s="68">
        <f t="shared" ref="AL78:AL79" si="236">AL77</f>
        <v>5.4</v>
      </c>
      <c r="AM78" s="68">
        <f t="shared" ref="AM78:AM79" si="237">AM77</f>
        <v>5.5</v>
      </c>
      <c r="AN78" s="69">
        <v>0</v>
      </c>
      <c r="AO78" s="69">
        <v>0</v>
      </c>
      <c r="AP78" s="69">
        <v>0</v>
      </c>
      <c r="AQ78" s="69">
        <v>0</v>
      </c>
    </row>
    <row r="79" spans="2:43">
      <c r="B79">
        <f t="shared" si="194"/>
        <v>1989</v>
      </c>
      <c r="C79">
        <f t="shared" si="195"/>
        <v>11</v>
      </c>
      <c r="D79" s="7">
        <v>32819</v>
      </c>
      <c r="E79" s="67">
        <f>E78</f>
        <v>32778</v>
      </c>
      <c r="F79" s="4">
        <v>0</v>
      </c>
      <c r="G79" s="4">
        <v>0</v>
      </c>
      <c r="H79" s="10" t="e">
        <v>#N/A</v>
      </c>
      <c r="I79" s="10" t="e">
        <v>#N/A</v>
      </c>
      <c r="J79" s="12" t="e">
        <f>NA()</f>
        <v>#N/A</v>
      </c>
      <c r="K79" s="17" t="e">
        <v>#N/A</v>
      </c>
      <c r="L79" s="17" t="e">
        <v>#N/A</v>
      </c>
      <c r="M79" s="30" t="e">
        <v>#N/A</v>
      </c>
      <c r="N79" s="17" t="e">
        <v>#N/A</v>
      </c>
      <c r="O79" s="14" t="e">
        <v>#N/A</v>
      </c>
      <c r="P79" s="18" t="e">
        <v>#N/A</v>
      </c>
      <c r="Q79" s="68">
        <f>Q78</f>
        <v>4.5999999999999996</v>
      </c>
      <c r="R79" s="68">
        <f t="shared" si="226"/>
        <v>3.4</v>
      </c>
      <c r="S79" s="68">
        <f t="shared" si="227"/>
        <v>3.1</v>
      </c>
      <c r="T79" s="68">
        <f t="shared" si="228"/>
        <v>4.5</v>
      </c>
      <c r="U79" s="68">
        <f t="shared" si="229"/>
        <v>4.0999999999999996</v>
      </c>
      <c r="V79" s="69">
        <v>0</v>
      </c>
      <c r="W79" s="69">
        <v>0</v>
      </c>
      <c r="X79" s="69">
        <v>0</v>
      </c>
      <c r="Y79" s="69">
        <v>0</v>
      </c>
      <c r="Z79" s="68">
        <f>Z78</f>
        <v>2.5</v>
      </c>
      <c r="AA79" s="68">
        <f t="shared" si="230"/>
        <v>2.5</v>
      </c>
      <c r="AB79" s="68">
        <f t="shared" si="231"/>
        <v>2.1</v>
      </c>
      <c r="AC79" s="68">
        <f t="shared" si="232"/>
        <v>1.8</v>
      </c>
      <c r="AD79" s="68">
        <f t="shared" si="233"/>
        <v>1.5</v>
      </c>
      <c r="AE79" s="69">
        <v>0</v>
      </c>
      <c r="AF79" s="69">
        <v>0</v>
      </c>
      <c r="AG79" s="69">
        <v>0</v>
      </c>
      <c r="AH79" s="69">
        <v>0</v>
      </c>
      <c r="AI79" s="68">
        <f>AI78</f>
        <v>5.3</v>
      </c>
      <c r="AJ79" s="68">
        <f t="shared" si="234"/>
        <v>5.2</v>
      </c>
      <c r="AK79" s="68">
        <f t="shared" si="235"/>
        <v>5.3</v>
      </c>
      <c r="AL79" s="68">
        <f t="shared" si="236"/>
        <v>5.4</v>
      </c>
      <c r="AM79" s="68">
        <f t="shared" si="237"/>
        <v>5.5</v>
      </c>
      <c r="AN79" s="69">
        <v>0</v>
      </c>
      <c r="AO79" s="69">
        <v>0</v>
      </c>
      <c r="AP79" s="69">
        <v>0</v>
      </c>
      <c r="AQ79" s="69">
        <v>0</v>
      </c>
    </row>
    <row r="80" spans="2:43">
      <c r="B80">
        <f t="shared" si="194"/>
        <v>1989</v>
      </c>
      <c r="C80">
        <f t="shared" si="195"/>
        <v>11</v>
      </c>
      <c r="D80" s="7">
        <v>32827</v>
      </c>
      <c r="E80" s="6">
        <v>32820</v>
      </c>
      <c r="F80" s="4">
        <v>1</v>
      </c>
      <c r="G80" s="4">
        <v>0</v>
      </c>
      <c r="H80" s="10" t="e">
        <v>#N/A</v>
      </c>
      <c r="I80" s="10" t="e">
        <v>#N/A</v>
      </c>
      <c r="J80" s="12">
        <v>111489</v>
      </c>
      <c r="K80" s="17">
        <v>32826</v>
      </c>
      <c r="L80" s="17">
        <v>32843</v>
      </c>
      <c r="M80" s="30">
        <v>32820</v>
      </c>
      <c r="N80" s="17">
        <v>32843</v>
      </c>
      <c r="O80" s="14">
        <v>0</v>
      </c>
      <c r="P80" s="18">
        <v>8.5</v>
      </c>
      <c r="Q80" s="20">
        <v>2.9</v>
      </c>
      <c r="R80" s="20">
        <v>3.2</v>
      </c>
      <c r="S80" s="20">
        <v>4.2</v>
      </c>
      <c r="T80" s="20">
        <v>4.0999999999999996</v>
      </c>
      <c r="U80" s="20">
        <v>3.9</v>
      </c>
      <c r="V80" s="19">
        <v>-0.5</v>
      </c>
      <c r="W80" s="19">
        <v>0.1</v>
      </c>
      <c r="X80" s="19">
        <v>-0.3</v>
      </c>
      <c r="Y80" s="19">
        <v>0</v>
      </c>
      <c r="Z80" s="20">
        <v>2.5</v>
      </c>
      <c r="AA80" s="20">
        <v>1.7</v>
      </c>
      <c r="AB80" s="20">
        <v>2.2000000000000002</v>
      </c>
      <c r="AC80" s="20">
        <v>1.3</v>
      </c>
      <c r="AD80" s="20">
        <v>1.5</v>
      </c>
      <c r="AE80" s="19">
        <v>0</v>
      </c>
      <c r="AF80" s="19">
        <v>-0.4</v>
      </c>
      <c r="AG80" s="19">
        <v>0.4</v>
      </c>
      <c r="AH80" s="19">
        <v>-0.2</v>
      </c>
      <c r="AI80" s="15">
        <v>5.2</v>
      </c>
      <c r="AJ80" s="15">
        <v>5.3</v>
      </c>
      <c r="AK80" s="15">
        <v>5.4</v>
      </c>
      <c r="AL80" s="15">
        <v>5.5</v>
      </c>
      <c r="AM80" s="15">
        <v>5.7</v>
      </c>
      <c r="AN80" s="19">
        <v>0</v>
      </c>
      <c r="AO80" s="19">
        <v>0</v>
      </c>
      <c r="AP80" s="19">
        <v>0</v>
      </c>
      <c r="AQ80" s="19">
        <v>0</v>
      </c>
    </row>
    <row r="81" spans="2:43">
      <c r="B81">
        <f t="shared" si="194"/>
        <v>1989</v>
      </c>
      <c r="C81">
        <f t="shared" si="195"/>
        <v>12</v>
      </c>
      <c r="D81" s="7">
        <v>32862</v>
      </c>
      <c r="E81" s="6">
        <v>32855</v>
      </c>
      <c r="F81" s="4">
        <v>1</v>
      </c>
      <c r="G81" s="4">
        <v>0</v>
      </c>
      <c r="H81" s="10" t="e">
        <v>#N/A</v>
      </c>
      <c r="I81" s="10" t="e">
        <v>#N/A</v>
      </c>
      <c r="J81" s="12">
        <v>121989</v>
      </c>
      <c r="K81" s="17">
        <v>32861</v>
      </c>
      <c r="L81" s="17">
        <v>32843</v>
      </c>
      <c r="M81" s="30">
        <v>32855</v>
      </c>
      <c r="N81" s="17">
        <v>32843</v>
      </c>
      <c r="O81" s="14">
        <v>-0.25</v>
      </c>
      <c r="P81" s="18">
        <v>8.5</v>
      </c>
      <c r="Q81" s="20">
        <v>3.2</v>
      </c>
      <c r="R81" s="20">
        <v>3.8</v>
      </c>
      <c r="S81" s="20">
        <v>3.9</v>
      </c>
      <c r="T81" s="20">
        <v>4.2</v>
      </c>
      <c r="U81" s="20">
        <v>4</v>
      </c>
      <c r="V81" s="19">
        <v>0.3</v>
      </c>
      <c r="W81" s="19">
        <v>0.6</v>
      </c>
      <c r="X81" s="19">
        <v>-0.3</v>
      </c>
      <c r="Y81" s="19">
        <v>0.1</v>
      </c>
      <c r="Z81" s="20">
        <v>2.7</v>
      </c>
      <c r="AA81" s="20">
        <v>0.7</v>
      </c>
      <c r="AB81" s="20">
        <v>2.1</v>
      </c>
      <c r="AC81" s="20">
        <v>1.2</v>
      </c>
      <c r="AD81" s="20">
        <v>1.6</v>
      </c>
      <c r="AE81" s="19">
        <v>0.2</v>
      </c>
      <c r="AF81" s="19">
        <v>-1</v>
      </c>
      <c r="AG81" s="19">
        <v>-0.1</v>
      </c>
      <c r="AH81" s="19">
        <v>-0.1</v>
      </c>
      <c r="AI81" s="15">
        <v>5.2</v>
      </c>
      <c r="AJ81" s="15">
        <v>5.4</v>
      </c>
      <c r="AK81" s="15">
        <v>5.6</v>
      </c>
      <c r="AL81" s="15">
        <v>5.8</v>
      </c>
      <c r="AM81" s="15">
        <v>5.9</v>
      </c>
      <c r="AN81" s="19">
        <v>0</v>
      </c>
      <c r="AO81" s="19">
        <v>0.1</v>
      </c>
      <c r="AP81" s="19">
        <v>0.2</v>
      </c>
      <c r="AQ81" s="19">
        <v>0.3</v>
      </c>
    </row>
    <row r="82" spans="2:43">
      <c r="B82">
        <f t="shared" si="194"/>
        <v>1990</v>
      </c>
      <c r="C82">
        <f t="shared" si="195"/>
        <v>2</v>
      </c>
      <c r="D82" s="7">
        <v>32912</v>
      </c>
      <c r="E82" s="6">
        <v>32904</v>
      </c>
      <c r="F82" s="4">
        <v>1</v>
      </c>
      <c r="G82" s="4">
        <v>0</v>
      </c>
      <c r="H82" s="10">
        <v>-0.02</v>
      </c>
      <c r="I82" s="10" t="e">
        <v>#N/A</v>
      </c>
      <c r="J82" s="12">
        <v>20790</v>
      </c>
      <c r="K82" s="17">
        <v>32911</v>
      </c>
      <c r="L82" s="17">
        <v>32933</v>
      </c>
      <c r="M82" s="30">
        <v>32904</v>
      </c>
      <c r="N82" s="17">
        <v>32933</v>
      </c>
      <c r="O82" s="14">
        <v>0</v>
      </c>
      <c r="P82" s="18">
        <v>8.25</v>
      </c>
      <c r="Q82" s="20">
        <v>3.5</v>
      </c>
      <c r="R82" s="20">
        <v>4.5999999999999996</v>
      </c>
      <c r="S82" s="20">
        <v>3.6</v>
      </c>
      <c r="T82" s="20">
        <v>4.2</v>
      </c>
      <c r="U82" s="20">
        <v>3.8</v>
      </c>
      <c r="V82" s="19">
        <v>-0.3</v>
      </c>
      <c r="W82" s="19">
        <v>0.7</v>
      </c>
      <c r="X82" s="19">
        <v>-0.6</v>
      </c>
      <c r="Y82" s="19">
        <v>0.2</v>
      </c>
      <c r="Z82" s="20">
        <v>0.5</v>
      </c>
      <c r="AA82" s="20">
        <v>0.7</v>
      </c>
      <c r="AB82" s="20">
        <v>2.6</v>
      </c>
      <c r="AC82" s="20">
        <v>1.6</v>
      </c>
      <c r="AD82" s="20">
        <v>1.7</v>
      </c>
      <c r="AE82" s="19">
        <v>-0.2</v>
      </c>
      <c r="AF82" s="19">
        <v>-1.4</v>
      </c>
      <c r="AG82" s="19">
        <v>1.4</v>
      </c>
      <c r="AH82" s="19">
        <v>0</v>
      </c>
      <c r="AI82" s="15">
        <v>5.3</v>
      </c>
      <c r="AJ82" s="15">
        <v>5.5</v>
      </c>
      <c r="AK82" s="15">
        <v>5.6</v>
      </c>
      <c r="AL82" s="15">
        <v>5.8</v>
      </c>
      <c r="AM82" s="15">
        <v>5.9</v>
      </c>
      <c r="AN82" s="19">
        <v>-0.1</v>
      </c>
      <c r="AO82" s="19">
        <v>-0.1</v>
      </c>
      <c r="AP82" s="19">
        <v>-0.2</v>
      </c>
      <c r="AQ82" s="19">
        <v>-0.1</v>
      </c>
    </row>
    <row r="83" spans="2:43">
      <c r="B83">
        <f t="shared" si="194"/>
        <v>1990</v>
      </c>
      <c r="C83">
        <f t="shared" si="195"/>
        <v>3</v>
      </c>
      <c r="D83" s="7">
        <v>32960</v>
      </c>
      <c r="E83" s="6">
        <v>32953</v>
      </c>
      <c r="F83" s="4">
        <v>1</v>
      </c>
      <c r="G83" s="4">
        <v>0</v>
      </c>
      <c r="H83" s="10">
        <v>-0.02</v>
      </c>
      <c r="I83" s="10" t="e">
        <v>#N/A</v>
      </c>
      <c r="J83" s="12">
        <v>32790</v>
      </c>
      <c r="K83" s="17">
        <v>32959</v>
      </c>
      <c r="L83" s="17">
        <v>32933</v>
      </c>
      <c r="M83" s="30">
        <v>32953</v>
      </c>
      <c r="N83" s="17">
        <v>32933</v>
      </c>
      <c r="O83" s="14">
        <v>0</v>
      </c>
      <c r="P83" s="18">
        <v>8.25</v>
      </c>
      <c r="Q83" s="20">
        <v>3.2</v>
      </c>
      <c r="R83" s="20">
        <v>5.6</v>
      </c>
      <c r="S83" s="20">
        <v>3.4</v>
      </c>
      <c r="T83" s="20">
        <v>4.0999999999999996</v>
      </c>
      <c r="U83" s="20">
        <v>4.2</v>
      </c>
      <c r="V83" s="19">
        <v>-0.3</v>
      </c>
      <c r="W83" s="19">
        <v>1</v>
      </c>
      <c r="X83" s="19">
        <v>-0.2</v>
      </c>
      <c r="Y83" s="19">
        <v>-0.1</v>
      </c>
      <c r="Z83" s="20">
        <v>0.9</v>
      </c>
      <c r="AA83" s="20">
        <v>2</v>
      </c>
      <c r="AB83" s="20">
        <v>2.6</v>
      </c>
      <c r="AC83" s="20">
        <v>1.7</v>
      </c>
      <c r="AD83" s="20">
        <v>1.7</v>
      </c>
      <c r="AE83" s="19">
        <v>0.4</v>
      </c>
      <c r="AF83" s="19">
        <v>1.3</v>
      </c>
      <c r="AG83" s="19">
        <v>0</v>
      </c>
      <c r="AH83" s="19">
        <v>0.1</v>
      </c>
      <c r="AI83" s="15">
        <v>5.3</v>
      </c>
      <c r="AJ83" s="15">
        <v>5.3</v>
      </c>
      <c r="AK83" s="15">
        <v>5.4</v>
      </c>
      <c r="AL83" s="15">
        <v>5.6</v>
      </c>
      <c r="AM83" s="15">
        <v>5.7</v>
      </c>
      <c r="AN83" s="19">
        <v>0</v>
      </c>
      <c r="AO83" s="19">
        <v>-0.2</v>
      </c>
      <c r="AP83" s="19">
        <v>-0.2</v>
      </c>
      <c r="AQ83" s="19">
        <v>-0.2</v>
      </c>
    </row>
    <row r="84" spans="2:43">
      <c r="B84">
        <f t="shared" si="194"/>
        <v>1990</v>
      </c>
      <c r="C84">
        <f t="shared" si="195"/>
        <v>5</v>
      </c>
      <c r="D84" s="7">
        <v>33009</v>
      </c>
      <c r="E84" s="6">
        <v>33002</v>
      </c>
      <c r="F84" s="4">
        <v>1</v>
      </c>
      <c r="G84" s="4">
        <v>0</v>
      </c>
      <c r="H84" s="10">
        <v>0</v>
      </c>
      <c r="I84" s="10" t="e">
        <v>#N/A</v>
      </c>
      <c r="J84" s="12">
        <v>51590</v>
      </c>
      <c r="K84" s="17">
        <v>33008</v>
      </c>
      <c r="L84" s="17">
        <v>33025</v>
      </c>
      <c r="M84" s="30">
        <v>33002</v>
      </c>
      <c r="N84" s="17">
        <v>33025</v>
      </c>
      <c r="O84" s="14">
        <v>0</v>
      </c>
      <c r="P84" s="18">
        <v>8.25</v>
      </c>
      <c r="Q84" s="20">
        <v>5.7</v>
      </c>
      <c r="R84" s="20">
        <v>4.4000000000000004</v>
      </c>
      <c r="S84" s="20">
        <v>3.8</v>
      </c>
      <c r="T84" s="20">
        <v>4.0999999999999996</v>
      </c>
      <c r="U84" s="20">
        <v>4.5999999999999996</v>
      </c>
      <c r="V84" s="19">
        <v>0.1</v>
      </c>
      <c r="W84" s="19">
        <v>1</v>
      </c>
      <c r="X84" s="19">
        <v>-0.3</v>
      </c>
      <c r="Y84" s="19">
        <v>-0.1</v>
      </c>
      <c r="Z84" s="20">
        <v>2.1</v>
      </c>
      <c r="AA84" s="20">
        <v>2.2000000000000002</v>
      </c>
      <c r="AB84" s="20">
        <v>2</v>
      </c>
      <c r="AC84" s="20">
        <v>1.8</v>
      </c>
      <c r="AD84" s="20">
        <v>1.5</v>
      </c>
      <c r="AE84" s="19">
        <v>0.1</v>
      </c>
      <c r="AF84" s="19">
        <v>-0.4</v>
      </c>
      <c r="AG84" s="19">
        <v>0.3</v>
      </c>
      <c r="AH84" s="19">
        <v>0.1</v>
      </c>
      <c r="AI84" s="15">
        <v>5.2</v>
      </c>
      <c r="AJ84" s="15">
        <v>5.4</v>
      </c>
      <c r="AK84" s="15">
        <v>5.5</v>
      </c>
      <c r="AL84" s="15">
        <v>5.6</v>
      </c>
      <c r="AM84" s="15">
        <v>5.7</v>
      </c>
      <c r="AN84" s="19">
        <v>-0.1</v>
      </c>
      <c r="AO84" s="19">
        <v>0</v>
      </c>
      <c r="AP84" s="19">
        <v>-0.1</v>
      </c>
      <c r="AQ84" s="19">
        <v>-0.1</v>
      </c>
    </row>
    <row r="85" spans="2:43">
      <c r="B85">
        <f t="shared" si="194"/>
        <v>1990</v>
      </c>
      <c r="C85">
        <f t="shared" si="195"/>
        <v>7</v>
      </c>
      <c r="D85" s="7">
        <v>33059</v>
      </c>
      <c r="E85" s="6">
        <v>33051</v>
      </c>
      <c r="F85" s="4">
        <v>1</v>
      </c>
      <c r="G85" s="4">
        <v>0</v>
      </c>
      <c r="H85" s="10">
        <v>-0.02</v>
      </c>
      <c r="I85" s="10" t="e">
        <v>#N/A</v>
      </c>
      <c r="J85" s="12">
        <v>70390</v>
      </c>
      <c r="K85" s="17">
        <v>33057</v>
      </c>
      <c r="L85" s="17">
        <v>33117</v>
      </c>
      <c r="M85" s="30">
        <v>33051</v>
      </c>
      <c r="N85" s="17">
        <v>33025</v>
      </c>
      <c r="O85" s="14">
        <v>-0.25</v>
      </c>
      <c r="P85" s="18">
        <v>8.25</v>
      </c>
      <c r="Q85" s="20">
        <v>5.4</v>
      </c>
      <c r="R85" s="20">
        <v>4.3</v>
      </c>
      <c r="S85" s="20">
        <v>3.9</v>
      </c>
      <c r="T85" s="20">
        <v>3.6</v>
      </c>
      <c r="U85" s="20">
        <v>4.7</v>
      </c>
      <c r="V85" s="19">
        <v>-0.3</v>
      </c>
      <c r="W85" s="19">
        <v>-0.1</v>
      </c>
      <c r="X85" s="19">
        <v>0.1</v>
      </c>
      <c r="Y85" s="19">
        <v>-0.5</v>
      </c>
      <c r="Z85" s="20">
        <v>1.9</v>
      </c>
      <c r="AA85" s="20">
        <v>1.3</v>
      </c>
      <c r="AB85" s="20">
        <v>1.6</v>
      </c>
      <c r="AC85" s="20">
        <v>1.6</v>
      </c>
      <c r="AD85" s="20">
        <v>1.8</v>
      </c>
      <c r="AE85" s="19">
        <v>-0.2</v>
      </c>
      <c r="AF85" s="19">
        <v>-0.9</v>
      </c>
      <c r="AG85" s="19">
        <v>-0.4</v>
      </c>
      <c r="AH85" s="19">
        <v>-0.2</v>
      </c>
      <c r="AI85" s="15">
        <v>5.2</v>
      </c>
      <c r="AJ85" s="15">
        <v>5.4</v>
      </c>
      <c r="AK85" s="15">
        <v>5.6</v>
      </c>
      <c r="AL85" s="15">
        <v>5.8</v>
      </c>
      <c r="AM85" s="15">
        <v>5.8</v>
      </c>
      <c r="AN85" s="19">
        <v>0</v>
      </c>
      <c r="AO85" s="19">
        <v>0</v>
      </c>
      <c r="AP85" s="19">
        <v>0.1</v>
      </c>
      <c r="AQ85" s="19">
        <v>0.2</v>
      </c>
    </row>
    <row r="86" spans="2:43">
      <c r="B86">
        <f t="shared" si="194"/>
        <v>1990</v>
      </c>
      <c r="C86">
        <f t="shared" si="195"/>
        <v>7</v>
      </c>
      <c r="D86" s="7">
        <v>33067</v>
      </c>
      <c r="E86" s="67">
        <f>E85</f>
        <v>33051</v>
      </c>
      <c r="F86" s="4">
        <v>0</v>
      </c>
      <c r="G86" s="4">
        <v>0</v>
      </c>
      <c r="H86" s="10">
        <v>-0.08</v>
      </c>
      <c r="I86" s="10" t="e">
        <v>#N/A</v>
      </c>
      <c r="J86" s="12" t="e">
        <f>NA()</f>
        <v>#N/A</v>
      </c>
      <c r="K86" s="17" t="e">
        <v>#N/A</v>
      </c>
      <c r="L86" s="17" t="e">
        <v>#N/A</v>
      </c>
      <c r="M86" s="30" t="e">
        <v>#N/A</v>
      </c>
      <c r="N86" s="17" t="e">
        <v>#N/A</v>
      </c>
      <c r="O86" s="14" t="e">
        <v>#N/A</v>
      </c>
      <c r="P86" s="18" t="e">
        <v>#N/A</v>
      </c>
      <c r="Q86" s="68">
        <f>Q85</f>
        <v>5.4</v>
      </c>
      <c r="R86" s="68">
        <f t="shared" ref="R86" si="238">R85</f>
        <v>4.3</v>
      </c>
      <c r="S86" s="68">
        <f t="shared" ref="S86" si="239">S85</f>
        <v>3.9</v>
      </c>
      <c r="T86" s="68">
        <f t="shared" ref="T86" si="240">T85</f>
        <v>3.6</v>
      </c>
      <c r="U86" s="68">
        <f t="shared" ref="U86" si="241">U85</f>
        <v>4.7</v>
      </c>
      <c r="V86" s="69">
        <v>0</v>
      </c>
      <c r="W86" s="69">
        <v>0</v>
      </c>
      <c r="X86" s="69">
        <v>0</v>
      </c>
      <c r="Y86" s="69">
        <v>0</v>
      </c>
      <c r="Z86" s="68">
        <f>Z85</f>
        <v>1.9</v>
      </c>
      <c r="AA86" s="68">
        <f t="shared" ref="AA86" si="242">AA85</f>
        <v>1.3</v>
      </c>
      <c r="AB86" s="68">
        <f t="shared" ref="AB86" si="243">AB85</f>
        <v>1.6</v>
      </c>
      <c r="AC86" s="68">
        <f t="shared" ref="AC86" si="244">AC85</f>
        <v>1.6</v>
      </c>
      <c r="AD86" s="68">
        <f t="shared" ref="AD86" si="245">AD85</f>
        <v>1.8</v>
      </c>
      <c r="AE86" s="69">
        <v>0</v>
      </c>
      <c r="AF86" s="69">
        <v>0</v>
      </c>
      <c r="AG86" s="69">
        <v>0</v>
      </c>
      <c r="AH86" s="69">
        <v>0</v>
      </c>
      <c r="AI86" s="68">
        <f>AI85</f>
        <v>5.2</v>
      </c>
      <c r="AJ86" s="68">
        <f t="shared" ref="AJ86" si="246">AJ85</f>
        <v>5.4</v>
      </c>
      <c r="AK86" s="68">
        <f t="shared" ref="AK86" si="247">AK85</f>
        <v>5.6</v>
      </c>
      <c r="AL86" s="68">
        <f t="shared" ref="AL86" si="248">AL85</f>
        <v>5.8</v>
      </c>
      <c r="AM86" s="68">
        <f t="shared" ref="AM86" si="249">AM85</f>
        <v>5.8</v>
      </c>
      <c r="AN86" s="69">
        <v>0</v>
      </c>
      <c r="AO86" s="69">
        <v>0</v>
      </c>
      <c r="AP86" s="69">
        <v>0</v>
      </c>
      <c r="AQ86" s="69">
        <v>0</v>
      </c>
    </row>
    <row r="87" spans="2:43">
      <c r="B87">
        <f t="shared" si="194"/>
        <v>1990</v>
      </c>
      <c r="C87">
        <f t="shared" si="195"/>
        <v>8</v>
      </c>
      <c r="D87" s="7">
        <v>33107</v>
      </c>
      <c r="E87" s="6">
        <v>33100</v>
      </c>
      <c r="F87" s="4">
        <v>1</v>
      </c>
      <c r="G87" s="4">
        <v>0</v>
      </c>
      <c r="H87" s="10">
        <v>0</v>
      </c>
      <c r="I87" s="10" t="e">
        <v>#N/A</v>
      </c>
      <c r="J87" s="12">
        <v>82190</v>
      </c>
      <c r="K87" s="17">
        <v>33106</v>
      </c>
      <c r="L87" s="17">
        <v>33117</v>
      </c>
      <c r="M87" s="30">
        <v>33100</v>
      </c>
      <c r="N87" s="17">
        <v>33117</v>
      </c>
      <c r="O87" s="14">
        <v>0</v>
      </c>
      <c r="P87" s="18">
        <v>8</v>
      </c>
      <c r="Q87" s="20">
        <v>4.4000000000000004</v>
      </c>
      <c r="R87" s="20">
        <v>4.5999999999999996</v>
      </c>
      <c r="S87" s="20">
        <v>3.4</v>
      </c>
      <c r="T87" s="20">
        <v>4.9000000000000004</v>
      </c>
      <c r="U87" s="20">
        <v>4.5999999999999996</v>
      </c>
      <c r="V87" s="19">
        <v>0.1</v>
      </c>
      <c r="W87" s="19">
        <v>0.7</v>
      </c>
      <c r="X87" s="19">
        <v>-0.2</v>
      </c>
      <c r="Y87" s="19">
        <v>0.2</v>
      </c>
      <c r="Z87" s="20">
        <v>1.2</v>
      </c>
      <c r="AA87" s="20">
        <v>1.2</v>
      </c>
      <c r="AB87" s="20">
        <v>0.5</v>
      </c>
      <c r="AC87" s="20">
        <v>1.3</v>
      </c>
      <c r="AD87" s="20">
        <v>2</v>
      </c>
      <c r="AE87" s="19">
        <v>-0.1</v>
      </c>
      <c r="AF87" s="19">
        <v>-0.4</v>
      </c>
      <c r="AG87" s="19">
        <v>-1.1000000000000001</v>
      </c>
      <c r="AH87" s="19">
        <v>-0.5</v>
      </c>
      <c r="AI87" s="15">
        <v>5.3</v>
      </c>
      <c r="AJ87" s="15">
        <v>5.6</v>
      </c>
      <c r="AK87" s="15">
        <v>5.9</v>
      </c>
      <c r="AL87" s="15">
        <v>6</v>
      </c>
      <c r="AM87" s="15">
        <v>6.1</v>
      </c>
      <c r="AN87" s="19">
        <v>-0.1</v>
      </c>
      <c r="AO87" s="19">
        <v>0</v>
      </c>
      <c r="AP87" s="19">
        <v>0.1</v>
      </c>
      <c r="AQ87" s="19">
        <v>0.2</v>
      </c>
    </row>
    <row r="88" spans="2:43">
      <c r="B88">
        <f t="shared" si="194"/>
        <v>1990</v>
      </c>
      <c r="C88">
        <f t="shared" si="195"/>
        <v>10</v>
      </c>
      <c r="D88" s="7">
        <v>33149</v>
      </c>
      <c r="E88" s="6">
        <v>33142</v>
      </c>
      <c r="F88" s="4">
        <v>1</v>
      </c>
      <c r="G88" s="4">
        <v>0</v>
      </c>
      <c r="H88" s="10">
        <v>-9.9900000000000006E-3</v>
      </c>
      <c r="I88" s="10" t="e">
        <v>#N/A</v>
      </c>
      <c r="J88" s="12">
        <v>100290</v>
      </c>
      <c r="K88" s="17">
        <v>33148</v>
      </c>
      <c r="L88" s="17">
        <v>33208</v>
      </c>
      <c r="M88" s="30">
        <v>33142</v>
      </c>
      <c r="N88" s="17">
        <v>33117</v>
      </c>
      <c r="O88" s="14">
        <v>-0.25</v>
      </c>
      <c r="P88" s="18">
        <v>8</v>
      </c>
      <c r="Q88" s="20">
        <v>4.7</v>
      </c>
      <c r="R88" s="20">
        <v>4.2</v>
      </c>
      <c r="S88" s="20">
        <v>3.6</v>
      </c>
      <c r="T88" s="20">
        <v>5.5</v>
      </c>
      <c r="U88" s="20">
        <v>5</v>
      </c>
      <c r="V88" s="19">
        <v>0.3</v>
      </c>
      <c r="W88" s="19">
        <v>-0.4</v>
      </c>
      <c r="X88" s="19">
        <v>0.2</v>
      </c>
      <c r="Y88" s="19">
        <v>0.6</v>
      </c>
      <c r="Z88" s="20">
        <v>0.4</v>
      </c>
      <c r="AA88" s="20">
        <v>1.4</v>
      </c>
      <c r="AB88" s="20">
        <v>-1</v>
      </c>
      <c r="AC88" s="20">
        <v>-0.4</v>
      </c>
      <c r="AD88" s="20">
        <v>2</v>
      </c>
      <c r="AE88" s="19">
        <v>-0.8</v>
      </c>
      <c r="AF88" s="19">
        <v>0.2</v>
      </c>
      <c r="AG88" s="19">
        <v>-1.5</v>
      </c>
      <c r="AH88" s="19">
        <v>-1.7</v>
      </c>
      <c r="AI88" s="15">
        <v>5.3</v>
      </c>
      <c r="AJ88" s="15">
        <v>5.6</v>
      </c>
      <c r="AK88" s="15">
        <v>6</v>
      </c>
      <c r="AL88" s="15">
        <v>6.3</v>
      </c>
      <c r="AM88" s="15">
        <v>6.4</v>
      </c>
      <c r="AN88" s="19">
        <v>0</v>
      </c>
      <c r="AO88" s="19">
        <v>0</v>
      </c>
      <c r="AP88" s="19">
        <v>0.1</v>
      </c>
      <c r="AQ88" s="19">
        <v>0.3</v>
      </c>
    </row>
    <row r="89" spans="2:43">
      <c r="B89">
        <f t="shared" si="194"/>
        <v>1990</v>
      </c>
      <c r="C89">
        <f t="shared" si="195"/>
        <v>10</v>
      </c>
      <c r="D89" s="7">
        <v>33175</v>
      </c>
      <c r="E89" s="67">
        <f>E88</f>
        <v>33142</v>
      </c>
      <c r="F89" s="4">
        <v>0</v>
      </c>
      <c r="G89" s="4">
        <v>0</v>
      </c>
      <c r="H89" s="10">
        <v>-0.02</v>
      </c>
      <c r="I89" s="10" t="e">
        <v>#N/A</v>
      </c>
      <c r="J89" s="12" t="e">
        <f>NA()</f>
        <v>#N/A</v>
      </c>
      <c r="K89" s="17" t="e">
        <v>#N/A</v>
      </c>
      <c r="L89" s="17" t="e">
        <v>#N/A</v>
      </c>
      <c r="M89" s="30" t="e">
        <v>#N/A</v>
      </c>
      <c r="N89" s="17" t="e">
        <v>#N/A</v>
      </c>
      <c r="O89" s="14" t="e">
        <v>#N/A</v>
      </c>
      <c r="P89" s="18" t="e">
        <v>#N/A</v>
      </c>
      <c r="Q89" s="68">
        <f>Q88</f>
        <v>4.7</v>
      </c>
      <c r="R89" s="68">
        <f t="shared" ref="R89" si="250">R88</f>
        <v>4.2</v>
      </c>
      <c r="S89" s="68">
        <f t="shared" ref="S89" si="251">S88</f>
        <v>3.6</v>
      </c>
      <c r="T89" s="68">
        <f t="shared" ref="T89" si="252">T88</f>
        <v>5.5</v>
      </c>
      <c r="U89" s="68">
        <f t="shared" ref="U89" si="253">U88</f>
        <v>5</v>
      </c>
      <c r="V89" s="69">
        <v>0</v>
      </c>
      <c r="W89" s="69">
        <v>0</v>
      </c>
      <c r="X89" s="69">
        <v>0</v>
      </c>
      <c r="Y89" s="69">
        <v>0</v>
      </c>
      <c r="Z89" s="68">
        <f>Z88</f>
        <v>0.4</v>
      </c>
      <c r="AA89" s="68">
        <f t="shared" ref="AA89" si="254">AA88</f>
        <v>1.4</v>
      </c>
      <c r="AB89" s="68">
        <f t="shared" ref="AB89" si="255">AB88</f>
        <v>-1</v>
      </c>
      <c r="AC89" s="68">
        <f t="shared" ref="AC89" si="256">AC88</f>
        <v>-0.4</v>
      </c>
      <c r="AD89" s="68">
        <f t="shared" ref="AD89" si="257">AD88</f>
        <v>2</v>
      </c>
      <c r="AE89" s="69">
        <v>0</v>
      </c>
      <c r="AF89" s="69">
        <v>0</v>
      </c>
      <c r="AG89" s="69">
        <v>0</v>
      </c>
      <c r="AH89" s="69">
        <v>0</v>
      </c>
      <c r="AI89" s="68">
        <f>AI88</f>
        <v>5.3</v>
      </c>
      <c r="AJ89" s="68">
        <f t="shared" ref="AJ89" si="258">AJ88</f>
        <v>5.6</v>
      </c>
      <c r="AK89" s="68">
        <f t="shared" ref="AK89" si="259">AK88</f>
        <v>6</v>
      </c>
      <c r="AL89" s="68">
        <f t="shared" ref="AL89" si="260">AL88</f>
        <v>6.3</v>
      </c>
      <c r="AM89" s="68">
        <f t="shared" ref="AM89" si="261">AM88</f>
        <v>6.4</v>
      </c>
      <c r="AN89" s="69">
        <v>0</v>
      </c>
      <c r="AO89" s="69">
        <v>0</v>
      </c>
      <c r="AP89" s="69">
        <v>0</v>
      </c>
      <c r="AQ89" s="69">
        <v>0</v>
      </c>
    </row>
    <row r="90" spans="2:43">
      <c r="B90">
        <f t="shared" si="194"/>
        <v>1990</v>
      </c>
      <c r="C90">
        <f t="shared" si="195"/>
        <v>11</v>
      </c>
      <c r="D90" s="7">
        <v>33191</v>
      </c>
      <c r="E90" s="6">
        <v>33184</v>
      </c>
      <c r="F90" s="4">
        <v>1</v>
      </c>
      <c r="G90" s="4">
        <v>0</v>
      </c>
      <c r="H90" s="10">
        <v>0.01</v>
      </c>
      <c r="I90" s="10" t="e">
        <v>#N/A</v>
      </c>
      <c r="J90" s="12">
        <v>111390</v>
      </c>
      <c r="K90" s="17">
        <v>33190</v>
      </c>
      <c r="L90" s="17">
        <v>33208</v>
      </c>
      <c r="M90" s="30">
        <v>33184</v>
      </c>
      <c r="N90" s="17">
        <v>33208</v>
      </c>
      <c r="O90" s="14">
        <v>-0.25</v>
      </c>
      <c r="P90" s="18">
        <v>7.75</v>
      </c>
      <c r="Q90" s="20">
        <v>3.4</v>
      </c>
      <c r="R90" s="20">
        <v>3.6</v>
      </c>
      <c r="S90" s="20">
        <v>5.6</v>
      </c>
      <c r="T90" s="20">
        <v>4.5999999999999996</v>
      </c>
      <c r="U90" s="20">
        <v>4.0999999999999996</v>
      </c>
      <c r="V90" s="19">
        <v>-0.8</v>
      </c>
      <c r="W90" s="19">
        <v>0</v>
      </c>
      <c r="X90" s="19">
        <v>0.1</v>
      </c>
      <c r="Y90" s="19">
        <v>-0.4</v>
      </c>
      <c r="Z90" s="20">
        <v>1.8</v>
      </c>
      <c r="AA90" s="20">
        <v>-2.1</v>
      </c>
      <c r="AB90" s="20">
        <v>-1.1000000000000001</v>
      </c>
      <c r="AC90" s="20">
        <v>1.4</v>
      </c>
      <c r="AD90" s="20">
        <v>2.2000000000000002</v>
      </c>
      <c r="AE90" s="19">
        <v>0.4</v>
      </c>
      <c r="AF90" s="19">
        <v>-1.1000000000000001</v>
      </c>
      <c r="AG90" s="19">
        <v>-0.7</v>
      </c>
      <c r="AH90" s="19">
        <v>-0.6</v>
      </c>
      <c r="AI90" s="15">
        <v>5.6</v>
      </c>
      <c r="AJ90" s="15">
        <v>5.9</v>
      </c>
      <c r="AK90" s="15">
        <v>6.4</v>
      </c>
      <c r="AL90" s="15">
        <v>6.7</v>
      </c>
      <c r="AM90" s="15">
        <v>6.8</v>
      </c>
      <c r="AN90" s="19">
        <v>0</v>
      </c>
      <c r="AO90" s="19">
        <v>-0.1</v>
      </c>
      <c r="AP90" s="19">
        <v>0.1</v>
      </c>
      <c r="AQ90" s="19">
        <v>0.3</v>
      </c>
    </row>
    <row r="91" spans="2:43">
      <c r="B91">
        <f t="shared" si="194"/>
        <v>1990</v>
      </c>
      <c r="C91">
        <f t="shared" si="195"/>
        <v>12</v>
      </c>
      <c r="D91" s="7">
        <v>33214</v>
      </c>
      <c r="E91" s="67">
        <f>E90</f>
        <v>33184</v>
      </c>
      <c r="F91" s="4">
        <v>1</v>
      </c>
      <c r="G91" s="4">
        <v>1</v>
      </c>
      <c r="H91" s="10">
        <v>-0.04</v>
      </c>
      <c r="I91" s="10" t="e">
        <v>#N/A</v>
      </c>
      <c r="J91" s="12" t="e">
        <f>NA()</f>
        <v>#N/A</v>
      </c>
      <c r="K91" s="17" t="e">
        <v>#N/A</v>
      </c>
      <c r="L91" s="17" t="e">
        <v>#N/A</v>
      </c>
      <c r="M91" s="30" t="e">
        <v>#N/A</v>
      </c>
      <c r="N91" s="17" t="e">
        <v>#N/A</v>
      </c>
      <c r="O91" s="14" t="e">
        <v>#N/A</v>
      </c>
      <c r="P91" s="18" t="e">
        <v>#N/A</v>
      </c>
      <c r="Q91" s="68">
        <f>R90</f>
        <v>3.6</v>
      </c>
      <c r="R91" s="68">
        <f>S90</f>
        <v>5.6</v>
      </c>
      <c r="S91" s="68">
        <f t="shared" ref="S91" si="262">T90</f>
        <v>4.5999999999999996</v>
      </c>
      <c r="T91" s="68">
        <f>U90</f>
        <v>4.0999999999999996</v>
      </c>
      <c r="U91" s="70">
        <v>3.5</v>
      </c>
      <c r="V91" s="69">
        <v>0</v>
      </c>
      <c r="W91" s="69">
        <v>0</v>
      </c>
      <c r="X91" s="69">
        <v>0</v>
      </c>
      <c r="Y91" s="69">
        <v>0</v>
      </c>
      <c r="Z91" s="68">
        <f>AA90</f>
        <v>-2.1</v>
      </c>
      <c r="AA91" s="68">
        <f>AB90</f>
        <v>-1.1000000000000001</v>
      </c>
      <c r="AB91" s="68">
        <f t="shared" ref="AB91" si="263">AC90</f>
        <v>1.4</v>
      </c>
      <c r="AC91" s="68">
        <f>AD90</f>
        <v>2.2000000000000002</v>
      </c>
      <c r="AD91" s="70">
        <v>2.4</v>
      </c>
      <c r="AE91" s="69">
        <v>0</v>
      </c>
      <c r="AF91" s="69">
        <v>0</v>
      </c>
      <c r="AG91" s="69">
        <v>0</v>
      </c>
      <c r="AH91" s="69">
        <v>0</v>
      </c>
      <c r="AI91" s="68">
        <f>AJ90</f>
        <v>5.9</v>
      </c>
      <c r="AJ91" s="68">
        <f>AK90</f>
        <v>6.4</v>
      </c>
      <c r="AK91" s="68">
        <f t="shared" ref="AK91" si="264">AL90</f>
        <v>6.7</v>
      </c>
      <c r="AL91" s="68">
        <f>AM90</f>
        <v>6.8</v>
      </c>
      <c r="AM91" s="70">
        <v>6.8</v>
      </c>
      <c r="AN91" s="69">
        <v>0</v>
      </c>
      <c r="AO91" s="69">
        <v>0</v>
      </c>
      <c r="AP91" s="69">
        <v>0</v>
      </c>
      <c r="AQ91" s="69">
        <v>0</v>
      </c>
    </row>
    <row r="92" spans="2:43">
      <c r="B92">
        <f t="shared" si="194"/>
        <v>1990</v>
      </c>
      <c r="C92">
        <f t="shared" si="195"/>
        <v>12</v>
      </c>
      <c r="D92" s="7">
        <v>33225</v>
      </c>
      <c r="E92" s="6">
        <v>33219</v>
      </c>
      <c r="F92" s="4">
        <v>1</v>
      </c>
      <c r="G92" s="4">
        <v>0</v>
      </c>
      <c r="H92" s="10">
        <v>-0.15</v>
      </c>
      <c r="I92" s="10" t="e">
        <v>#N/A</v>
      </c>
      <c r="J92" s="12">
        <v>121890</v>
      </c>
      <c r="K92" s="17">
        <v>33225</v>
      </c>
      <c r="L92" s="17">
        <v>33208</v>
      </c>
      <c r="M92" s="30">
        <v>33219</v>
      </c>
      <c r="N92" s="17">
        <v>33208</v>
      </c>
      <c r="O92" s="14">
        <v>-0.25</v>
      </c>
      <c r="P92" s="18">
        <v>7.25</v>
      </c>
      <c r="Q92" s="20">
        <v>4</v>
      </c>
      <c r="R92" s="20">
        <v>4.0999999999999996</v>
      </c>
      <c r="S92" s="20">
        <v>5.2</v>
      </c>
      <c r="T92" s="20">
        <v>4</v>
      </c>
      <c r="U92" s="20">
        <v>3.5</v>
      </c>
      <c r="V92" s="19">
        <v>0.6</v>
      </c>
      <c r="W92" s="19">
        <v>0.5</v>
      </c>
      <c r="X92" s="19">
        <v>-0.4</v>
      </c>
      <c r="Y92" s="19">
        <v>-0.6</v>
      </c>
      <c r="Z92" s="20">
        <v>1.7</v>
      </c>
      <c r="AA92" s="20">
        <v>-3.1</v>
      </c>
      <c r="AB92" s="20">
        <v>-0.9</v>
      </c>
      <c r="AC92" s="20">
        <v>3.2</v>
      </c>
      <c r="AD92" s="20">
        <v>2.5</v>
      </c>
      <c r="AE92" s="19">
        <v>-0.1</v>
      </c>
      <c r="AF92" s="19">
        <v>-1</v>
      </c>
      <c r="AG92" s="19">
        <v>0.2</v>
      </c>
      <c r="AH92" s="19">
        <v>1.8</v>
      </c>
      <c r="AI92" s="15">
        <v>5.6</v>
      </c>
      <c r="AJ92" s="15">
        <v>5.9</v>
      </c>
      <c r="AK92" s="15">
        <v>6.4</v>
      </c>
      <c r="AL92" s="15">
        <v>6.4</v>
      </c>
      <c r="AM92" s="15">
        <v>6.5</v>
      </c>
      <c r="AN92" s="19">
        <v>0</v>
      </c>
      <c r="AO92" s="19">
        <v>0</v>
      </c>
      <c r="AP92" s="19">
        <v>0</v>
      </c>
      <c r="AQ92" s="19">
        <v>-0.3</v>
      </c>
    </row>
    <row r="93" spans="2:43">
      <c r="B93">
        <f t="shared" si="194"/>
        <v>1991</v>
      </c>
      <c r="C93">
        <f t="shared" si="195"/>
        <v>1</v>
      </c>
      <c r="D93" s="7">
        <v>33246</v>
      </c>
      <c r="E93" s="67">
        <f>E92</f>
        <v>33219</v>
      </c>
      <c r="F93" s="4">
        <v>0</v>
      </c>
      <c r="G93" s="4">
        <v>0</v>
      </c>
      <c r="H93" s="10">
        <v>-0.1</v>
      </c>
      <c r="I93" s="10" t="e">
        <v>#N/A</v>
      </c>
      <c r="J93" s="12" t="e">
        <f>NA()</f>
        <v>#N/A</v>
      </c>
      <c r="K93" s="17" t="e">
        <v>#N/A</v>
      </c>
      <c r="L93" s="17" t="e">
        <v>#N/A</v>
      </c>
      <c r="M93" s="30" t="e">
        <v>#N/A</v>
      </c>
      <c r="N93" s="17" t="e">
        <v>#N/A</v>
      </c>
      <c r="O93" s="14" t="e">
        <v>#N/A</v>
      </c>
      <c r="P93" s="18" t="e">
        <v>#N/A</v>
      </c>
      <c r="Q93" s="68">
        <f>R92</f>
        <v>4.0999999999999996</v>
      </c>
      <c r="R93" s="68">
        <f>S92</f>
        <v>5.2</v>
      </c>
      <c r="S93" s="68">
        <f t="shared" ref="S93" si="265">T92</f>
        <v>4</v>
      </c>
      <c r="T93" s="68">
        <f>U92</f>
        <v>3.5</v>
      </c>
      <c r="U93" s="70">
        <v>3.4</v>
      </c>
      <c r="V93" s="69">
        <v>0</v>
      </c>
      <c r="W93" s="69">
        <v>0</v>
      </c>
      <c r="X93" s="69">
        <v>0</v>
      </c>
      <c r="Y93" s="69">
        <v>0</v>
      </c>
      <c r="Z93" s="68">
        <f>AA92</f>
        <v>-3.1</v>
      </c>
      <c r="AA93" s="68">
        <f>AB92</f>
        <v>-0.9</v>
      </c>
      <c r="AB93" s="68">
        <f t="shared" ref="AB93" si="266">AC92</f>
        <v>3.2</v>
      </c>
      <c r="AC93" s="68">
        <f>AD92</f>
        <v>2.5</v>
      </c>
      <c r="AD93" s="70">
        <v>2.2999999999999998</v>
      </c>
      <c r="AE93" s="69">
        <v>0</v>
      </c>
      <c r="AF93" s="69">
        <v>0</v>
      </c>
      <c r="AG93" s="69">
        <v>0</v>
      </c>
      <c r="AH93" s="69">
        <v>0</v>
      </c>
      <c r="AI93" s="68">
        <f>AJ92</f>
        <v>5.9</v>
      </c>
      <c r="AJ93" s="68">
        <f>AK92</f>
        <v>6.4</v>
      </c>
      <c r="AK93" s="68">
        <f t="shared" ref="AK93" si="267">AL92</f>
        <v>6.4</v>
      </c>
      <c r="AL93" s="68">
        <f>AM92</f>
        <v>6.5</v>
      </c>
      <c r="AM93" s="70">
        <v>6.5</v>
      </c>
      <c r="AN93" s="69">
        <v>0</v>
      </c>
      <c r="AO93" s="69">
        <v>0</v>
      </c>
      <c r="AP93" s="69">
        <v>0</v>
      </c>
      <c r="AQ93" s="69">
        <v>0</v>
      </c>
    </row>
    <row r="94" spans="2:43">
      <c r="B94">
        <f t="shared" si="194"/>
        <v>1991</v>
      </c>
      <c r="C94">
        <f t="shared" si="195"/>
        <v>2</v>
      </c>
      <c r="D94" s="7">
        <v>33270</v>
      </c>
      <c r="E94" s="67">
        <f>E93</f>
        <v>33219</v>
      </c>
      <c r="F94" s="4">
        <v>1</v>
      </c>
      <c r="G94" s="4">
        <v>1</v>
      </c>
      <c r="H94" s="10">
        <v>-0.2</v>
      </c>
      <c r="I94">
        <v>-0.15112977590874799</v>
      </c>
      <c r="J94" s="12" t="e">
        <f>NA()</f>
        <v>#N/A</v>
      </c>
      <c r="K94" s="17" t="e">
        <v>#N/A</v>
      </c>
      <c r="L94" s="17" t="e">
        <v>#N/A</v>
      </c>
      <c r="M94" s="30" t="e">
        <v>#N/A</v>
      </c>
      <c r="N94" s="17" t="e">
        <v>#N/A</v>
      </c>
      <c r="O94" s="14" t="e">
        <v>#N/A</v>
      </c>
      <c r="P94" s="18" t="e">
        <v>#N/A</v>
      </c>
      <c r="Q94" s="68">
        <f>Q93</f>
        <v>4.0999999999999996</v>
      </c>
      <c r="R94" s="68">
        <f t="shared" ref="R94" si="268">R93</f>
        <v>5.2</v>
      </c>
      <c r="S94" s="68">
        <f t="shared" ref="S94" si="269">S93</f>
        <v>4</v>
      </c>
      <c r="T94" s="68">
        <f t="shared" ref="T94" si="270">T93</f>
        <v>3.5</v>
      </c>
      <c r="U94" s="68">
        <f>U93</f>
        <v>3.4</v>
      </c>
      <c r="V94" s="69">
        <v>0</v>
      </c>
      <c r="W94" s="69">
        <v>0</v>
      </c>
      <c r="X94" s="69">
        <v>0</v>
      </c>
      <c r="Y94" s="69">
        <v>0</v>
      </c>
      <c r="Z94" s="68">
        <f>Z93</f>
        <v>-3.1</v>
      </c>
      <c r="AA94" s="68">
        <f t="shared" ref="AA94" si="271">AA93</f>
        <v>-0.9</v>
      </c>
      <c r="AB94" s="68">
        <f t="shared" ref="AB94" si="272">AB93</f>
        <v>3.2</v>
      </c>
      <c r="AC94" s="68">
        <f t="shared" ref="AC94" si="273">AC93</f>
        <v>2.5</v>
      </c>
      <c r="AD94" s="68">
        <f>AD93</f>
        <v>2.2999999999999998</v>
      </c>
      <c r="AE94" s="69">
        <v>0</v>
      </c>
      <c r="AF94" s="69">
        <v>0</v>
      </c>
      <c r="AG94" s="69">
        <v>0</v>
      </c>
      <c r="AH94" s="69">
        <v>0</v>
      </c>
      <c r="AI94" s="68">
        <f>AI93</f>
        <v>5.9</v>
      </c>
      <c r="AJ94" s="68">
        <f t="shared" ref="AJ94" si="274">AJ93</f>
        <v>6.4</v>
      </c>
      <c r="AK94" s="68">
        <f t="shared" ref="AK94" si="275">AK93</f>
        <v>6.4</v>
      </c>
      <c r="AL94" s="68">
        <f t="shared" ref="AL94" si="276">AL93</f>
        <v>6.5</v>
      </c>
      <c r="AM94" s="68">
        <f>AM93</f>
        <v>6.5</v>
      </c>
      <c r="AN94" s="69">
        <v>0</v>
      </c>
      <c r="AO94" s="69">
        <v>0</v>
      </c>
      <c r="AP94" s="69">
        <v>0</v>
      </c>
      <c r="AQ94" s="69">
        <v>0</v>
      </c>
    </row>
    <row r="95" spans="2:43">
      <c r="B95">
        <f t="shared" si="194"/>
        <v>1991</v>
      </c>
      <c r="C95">
        <f t="shared" si="195"/>
        <v>2</v>
      </c>
      <c r="D95" s="7">
        <v>33276</v>
      </c>
      <c r="E95" s="6">
        <v>33268</v>
      </c>
      <c r="F95" s="4">
        <v>1</v>
      </c>
      <c r="G95" s="4">
        <v>0</v>
      </c>
      <c r="H95" s="10">
        <v>-0.01</v>
      </c>
      <c r="I95">
        <v>-0.15112977590874799</v>
      </c>
      <c r="J95" s="12">
        <v>20691</v>
      </c>
      <c r="K95" s="17">
        <v>33275</v>
      </c>
      <c r="L95" s="17">
        <v>33298</v>
      </c>
      <c r="M95" s="30">
        <v>33268</v>
      </c>
      <c r="N95" s="17">
        <v>33298</v>
      </c>
      <c r="O95" s="14">
        <v>-0.5</v>
      </c>
      <c r="P95" s="18">
        <v>6.75</v>
      </c>
      <c r="Q95" s="20">
        <v>2.8</v>
      </c>
      <c r="R95" s="20">
        <v>4.7</v>
      </c>
      <c r="S95" s="20">
        <v>3.8</v>
      </c>
      <c r="T95" s="20">
        <v>3.7</v>
      </c>
      <c r="U95" s="20">
        <v>3.5</v>
      </c>
      <c r="V95" s="19">
        <v>-1.3</v>
      </c>
      <c r="W95" s="19">
        <v>-0.5</v>
      </c>
      <c r="X95" s="19">
        <v>-0.2</v>
      </c>
      <c r="Y95" s="19">
        <v>0.2</v>
      </c>
      <c r="Z95" s="20">
        <v>-2.1</v>
      </c>
      <c r="AA95" s="20">
        <v>-1.5</v>
      </c>
      <c r="AB95" s="20">
        <v>2.8</v>
      </c>
      <c r="AC95" s="20">
        <v>3.1</v>
      </c>
      <c r="AD95" s="20">
        <v>3.1</v>
      </c>
      <c r="AE95" s="19">
        <v>1</v>
      </c>
      <c r="AF95" s="19">
        <v>-0.6</v>
      </c>
      <c r="AG95" s="19">
        <v>-0.4</v>
      </c>
      <c r="AH95" s="19">
        <v>0.6</v>
      </c>
      <c r="AI95" s="15">
        <v>5.9</v>
      </c>
      <c r="AJ95" s="15">
        <v>6.4</v>
      </c>
      <c r="AK95" s="15">
        <v>6.4</v>
      </c>
      <c r="AL95" s="15">
        <v>6.2</v>
      </c>
      <c r="AM95" s="15">
        <v>6.1</v>
      </c>
      <c r="AN95" s="19">
        <v>0</v>
      </c>
      <c r="AO95" s="19">
        <v>0</v>
      </c>
      <c r="AP95" s="19">
        <v>0</v>
      </c>
      <c r="AQ95" s="19">
        <v>-0.3</v>
      </c>
    </row>
    <row r="96" spans="2:43">
      <c r="B96">
        <f t="shared" si="194"/>
        <v>1991</v>
      </c>
      <c r="C96">
        <f t="shared" si="195"/>
        <v>3</v>
      </c>
      <c r="D96" s="7">
        <v>33305</v>
      </c>
      <c r="E96" s="67">
        <f>E95</f>
        <v>33268</v>
      </c>
      <c r="F96" s="4">
        <v>0</v>
      </c>
      <c r="G96" s="4">
        <v>0</v>
      </c>
      <c r="H96" s="10">
        <v>-0.04</v>
      </c>
      <c r="I96">
        <v>2.36012582355783E-2</v>
      </c>
      <c r="J96" s="12" t="e">
        <f>NA()</f>
        <v>#N/A</v>
      </c>
      <c r="K96" s="17" t="e">
        <v>#N/A</v>
      </c>
      <c r="L96" s="17" t="e">
        <v>#N/A</v>
      </c>
      <c r="M96" s="30" t="e">
        <v>#N/A</v>
      </c>
      <c r="N96" s="17" t="e">
        <v>#N/A</v>
      </c>
      <c r="O96" s="14" t="e">
        <v>#N/A</v>
      </c>
      <c r="P96" s="18" t="e">
        <v>#N/A</v>
      </c>
      <c r="Q96" s="68">
        <f>Q95</f>
        <v>2.8</v>
      </c>
      <c r="R96" s="68">
        <f t="shared" ref="R96" si="277">R95</f>
        <v>4.7</v>
      </c>
      <c r="S96" s="68">
        <f t="shared" ref="S96" si="278">S95</f>
        <v>3.8</v>
      </c>
      <c r="T96" s="68">
        <f t="shared" ref="T96" si="279">T95</f>
        <v>3.7</v>
      </c>
      <c r="U96" s="68">
        <f t="shared" ref="U96" si="280">U95</f>
        <v>3.5</v>
      </c>
      <c r="V96" s="69">
        <v>0</v>
      </c>
      <c r="W96" s="69">
        <v>0</v>
      </c>
      <c r="X96" s="69">
        <v>0</v>
      </c>
      <c r="Y96" s="69">
        <v>0</v>
      </c>
      <c r="Z96" s="68">
        <f>Z95</f>
        <v>-2.1</v>
      </c>
      <c r="AA96" s="68">
        <f t="shared" ref="AA96" si="281">AA95</f>
        <v>-1.5</v>
      </c>
      <c r="AB96" s="68">
        <f t="shared" ref="AB96" si="282">AB95</f>
        <v>2.8</v>
      </c>
      <c r="AC96" s="68">
        <f t="shared" ref="AC96" si="283">AC95</f>
        <v>3.1</v>
      </c>
      <c r="AD96" s="68">
        <f t="shared" ref="AD96" si="284">AD95</f>
        <v>3.1</v>
      </c>
      <c r="AE96" s="69">
        <v>0</v>
      </c>
      <c r="AF96" s="69">
        <v>0</v>
      </c>
      <c r="AG96" s="69">
        <v>0</v>
      </c>
      <c r="AH96" s="69">
        <v>0</v>
      </c>
      <c r="AI96" s="68">
        <f>AI95</f>
        <v>5.9</v>
      </c>
      <c r="AJ96" s="68">
        <f t="shared" ref="AJ96" si="285">AJ95</f>
        <v>6.4</v>
      </c>
      <c r="AK96" s="68">
        <f t="shared" ref="AK96" si="286">AK95</f>
        <v>6.4</v>
      </c>
      <c r="AL96" s="68">
        <f t="shared" ref="AL96" si="287">AL95</f>
        <v>6.2</v>
      </c>
      <c r="AM96" s="68">
        <f t="shared" ref="AM96" si="288">AM95</f>
        <v>6.1</v>
      </c>
      <c r="AN96" s="69">
        <v>0</v>
      </c>
      <c r="AO96" s="69">
        <v>0</v>
      </c>
      <c r="AP96" s="69">
        <v>0</v>
      </c>
      <c r="AQ96" s="69">
        <v>0</v>
      </c>
    </row>
    <row r="97" spans="2:43">
      <c r="B97">
        <f t="shared" si="194"/>
        <v>1991</v>
      </c>
      <c r="C97">
        <f t="shared" si="195"/>
        <v>3</v>
      </c>
      <c r="D97" s="7">
        <v>33324</v>
      </c>
      <c r="E97" s="6">
        <v>33317</v>
      </c>
      <c r="F97" s="4">
        <v>1</v>
      </c>
      <c r="G97" s="4">
        <v>0</v>
      </c>
      <c r="H97" s="10">
        <v>-0.02</v>
      </c>
      <c r="I97">
        <v>2.36012582355783E-2</v>
      </c>
      <c r="J97" s="12">
        <v>32691</v>
      </c>
      <c r="K97" s="17">
        <v>33323</v>
      </c>
      <c r="L97" s="17">
        <v>33298</v>
      </c>
      <c r="M97" s="30">
        <v>33317</v>
      </c>
      <c r="N97" s="17">
        <v>33298</v>
      </c>
      <c r="O97" s="14">
        <v>0</v>
      </c>
      <c r="P97" s="18">
        <v>6</v>
      </c>
      <c r="Q97" s="20">
        <v>2.8</v>
      </c>
      <c r="R97" s="20">
        <v>4.5</v>
      </c>
      <c r="S97" s="20">
        <v>3.7</v>
      </c>
      <c r="T97" s="20">
        <v>3.5</v>
      </c>
      <c r="U97" s="20">
        <v>3.3</v>
      </c>
      <c r="V97" s="19">
        <v>0</v>
      </c>
      <c r="W97" s="19">
        <v>-0.2</v>
      </c>
      <c r="X97" s="19">
        <v>-0.1</v>
      </c>
      <c r="Y97" s="19">
        <v>-0.2</v>
      </c>
      <c r="Z97" s="20">
        <v>-2</v>
      </c>
      <c r="AA97" s="20">
        <v>-2.4</v>
      </c>
      <c r="AB97" s="20">
        <v>1.9</v>
      </c>
      <c r="AC97" s="20">
        <v>3.9</v>
      </c>
      <c r="AD97" s="20">
        <v>3.8</v>
      </c>
      <c r="AE97" s="19">
        <v>0.1</v>
      </c>
      <c r="AF97" s="19">
        <v>-0.9</v>
      </c>
      <c r="AG97" s="19">
        <v>-0.9</v>
      </c>
      <c r="AH97" s="19">
        <v>0.8</v>
      </c>
      <c r="AI97" s="15">
        <v>5.9</v>
      </c>
      <c r="AJ97" s="15">
        <v>6.5</v>
      </c>
      <c r="AK97" s="15">
        <v>6.8</v>
      </c>
      <c r="AL97" s="15">
        <v>6.5</v>
      </c>
      <c r="AM97" s="15">
        <v>6.3</v>
      </c>
      <c r="AN97" s="19">
        <v>0</v>
      </c>
      <c r="AO97" s="19">
        <v>0.1</v>
      </c>
      <c r="AP97" s="19">
        <v>0.4</v>
      </c>
      <c r="AQ97" s="19">
        <v>0.3</v>
      </c>
    </row>
    <row r="98" spans="2:43">
      <c r="B98">
        <f t="shared" si="194"/>
        <v>1991</v>
      </c>
      <c r="C98">
        <f t="shared" si="195"/>
        <v>4</v>
      </c>
      <c r="D98" s="7">
        <v>33358</v>
      </c>
      <c r="E98" s="67">
        <f>E97</f>
        <v>33317</v>
      </c>
      <c r="F98" s="4">
        <v>1</v>
      </c>
      <c r="G98" s="4">
        <v>1</v>
      </c>
      <c r="H98" s="10">
        <v>-0.19</v>
      </c>
      <c r="I98">
        <v>-0.10058113555184101</v>
      </c>
      <c r="J98" s="12" t="e">
        <f>NA()</f>
        <v>#N/A</v>
      </c>
      <c r="K98" s="17" t="e">
        <v>#N/A</v>
      </c>
      <c r="L98" s="17" t="e">
        <v>#N/A</v>
      </c>
      <c r="M98" s="30" t="e">
        <v>#N/A</v>
      </c>
      <c r="N98" s="17" t="e">
        <v>#N/A</v>
      </c>
      <c r="O98" s="14" t="e">
        <v>#N/A</v>
      </c>
      <c r="P98" s="18" t="e">
        <v>#N/A</v>
      </c>
      <c r="Q98" s="68">
        <f>R97</f>
        <v>4.5</v>
      </c>
      <c r="R98" s="68">
        <f>S97</f>
        <v>3.7</v>
      </c>
      <c r="S98" s="68">
        <f t="shared" ref="S98" si="289">T97</f>
        <v>3.5</v>
      </c>
      <c r="T98" s="68">
        <f>U97</f>
        <v>3.3</v>
      </c>
      <c r="U98" s="70">
        <v>3.6</v>
      </c>
      <c r="V98" s="69">
        <v>0</v>
      </c>
      <c r="W98" s="69">
        <v>0</v>
      </c>
      <c r="X98" s="69">
        <v>0</v>
      </c>
      <c r="Y98" s="69">
        <v>0</v>
      </c>
      <c r="Z98" s="68">
        <f>AA97</f>
        <v>-2.4</v>
      </c>
      <c r="AA98" s="68">
        <f>AB97</f>
        <v>1.9</v>
      </c>
      <c r="AB98" s="68">
        <f t="shared" ref="AB98" si="290">AC97</f>
        <v>3.9</v>
      </c>
      <c r="AC98" s="68">
        <f>AD97</f>
        <v>3.8</v>
      </c>
      <c r="AD98" s="70">
        <v>3</v>
      </c>
      <c r="AE98" s="69">
        <v>0</v>
      </c>
      <c r="AF98" s="69">
        <v>0</v>
      </c>
      <c r="AG98" s="69">
        <v>0</v>
      </c>
      <c r="AH98" s="69">
        <v>0</v>
      </c>
      <c r="AI98" s="68">
        <f>AJ97</f>
        <v>6.5</v>
      </c>
      <c r="AJ98" s="68">
        <f>AK97</f>
        <v>6.8</v>
      </c>
      <c r="AK98" s="68">
        <f t="shared" ref="AK98" si="291">AL97</f>
        <v>6.5</v>
      </c>
      <c r="AL98" s="68">
        <f>AM97</f>
        <v>6.3</v>
      </c>
      <c r="AM98" s="70">
        <v>6.2</v>
      </c>
      <c r="AN98" s="69">
        <v>0</v>
      </c>
      <c r="AO98" s="69">
        <v>0</v>
      </c>
      <c r="AP98" s="69">
        <v>0</v>
      </c>
      <c r="AQ98" s="69">
        <v>0</v>
      </c>
    </row>
    <row r="99" spans="2:43">
      <c r="B99">
        <f t="shared" si="194"/>
        <v>1991</v>
      </c>
      <c r="C99">
        <f t="shared" si="195"/>
        <v>5</v>
      </c>
      <c r="D99" s="7">
        <v>33373</v>
      </c>
      <c r="E99" s="6">
        <v>33366</v>
      </c>
      <c r="F99" s="4">
        <v>1</v>
      </c>
      <c r="G99" s="4">
        <v>0</v>
      </c>
      <c r="H99" s="10">
        <v>-0.02</v>
      </c>
      <c r="I99">
        <v>4.58086602722865E-2</v>
      </c>
      <c r="J99" s="12">
        <v>51491</v>
      </c>
      <c r="K99" s="17">
        <v>33372</v>
      </c>
      <c r="L99" s="17">
        <v>33390</v>
      </c>
      <c r="M99" s="30">
        <v>33366</v>
      </c>
      <c r="N99" s="17">
        <v>33390</v>
      </c>
      <c r="O99" s="14">
        <v>0</v>
      </c>
      <c r="P99" s="18">
        <v>5.75</v>
      </c>
      <c r="Q99" s="20">
        <v>5.5</v>
      </c>
      <c r="R99" s="20">
        <v>3.1</v>
      </c>
      <c r="S99" s="20">
        <v>3.3</v>
      </c>
      <c r="T99" s="20">
        <v>3.2</v>
      </c>
      <c r="U99" s="20">
        <v>3.6</v>
      </c>
      <c r="V99" s="19">
        <v>1</v>
      </c>
      <c r="W99" s="19">
        <v>-0.6</v>
      </c>
      <c r="X99" s="19">
        <v>-0.2</v>
      </c>
      <c r="Y99" s="19">
        <v>-0.1</v>
      </c>
      <c r="Z99" s="20">
        <v>-2.8</v>
      </c>
      <c r="AA99" s="20">
        <v>-0.2</v>
      </c>
      <c r="AB99" s="20">
        <v>4.0999999999999996</v>
      </c>
      <c r="AC99" s="20">
        <v>4</v>
      </c>
      <c r="AD99" s="20">
        <v>3.5</v>
      </c>
      <c r="AE99" s="19">
        <v>-0.4</v>
      </c>
      <c r="AF99" s="19">
        <v>-2.1</v>
      </c>
      <c r="AG99" s="19">
        <v>0.2</v>
      </c>
      <c r="AH99" s="19">
        <v>0.2</v>
      </c>
      <c r="AI99" s="15">
        <v>6.5</v>
      </c>
      <c r="AJ99" s="15">
        <v>6.8</v>
      </c>
      <c r="AK99" s="15">
        <v>6.8</v>
      </c>
      <c r="AL99" s="15">
        <v>6.6</v>
      </c>
      <c r="AM99" s="15">
        <v>6.4</v>
      </c>
      <c r="AN99" s="19">
        <v>0</v>
      </c>
      <c r="AO99" s="19">
        <v>0</v>
      </c>
      <c r="AP99" s="19">
        <v>0.3</v>
      </c>
      <c r="AQ99" s="19">
        <v>0.3</v>
      </c>
    </row>
    <row r="100" spans="2:43">
      <c r="B100">
        <f t="shared" si="194"/>
        <v>1991</v>
      </c>
      <c r="C100">
        <f t="shared" si="195"/>
        <v>7</v>
      </c>
      <c r="D100" s="7">
        <v>33424</v>
      </c>
      <c r="E100" s="6">
        <v>33417</v>
      </c>
      <c r="F100" s="4">
        <v>1</v>
      </c>
      <c r="G100" s="4">
        <v>0</v>
      </c>
      <c r="H100" s="10">
        <v>0.01</v>
      </c>
      <c r="I100">
        <v>4.5252924464640999E-2</v>
      </c>
      <c r="J100" s="12">
        <v>70391</v>
      </c>
      <c r="K100" s="17">
        <v>33422</v>
      </c>
      <c r="L100" s="17">
        <v>33482</v>
      </c>
      <c r="M100" s="30">
        <v>33417</v>
      </c>
      <c r="N100" s="17">
        <v>33390</v>
      </c>
      <c r="O100" s="14">
        <v>0</v>
      </c>
      <c r="P100" s="18">
        <v>5.75</v>
      </c>
      <c r="Q100" s="20">
        <v>5.2</v>
      </c>
      <c r="R100" s="20">
        <v>3</v>
      </c>
      <c r="S100" s="20">
        <v>3.2</v>
      </c>
      <c r="T100" s="20">
        <v>3.3</v>
      </c>
      <c r="U100" s="20">
        <v>3.8</v>
      </c>
      <c r="V100" s="19">
        <v>-0.3</v>
      </c>
      <c r="W100" s="19">
        <v>-0.1</v>
      </c>
      <c r="X100" s="19">
        <v>-0.1</v>
      </c>
      <c r="Y100" s="19">
        <v>0.1</v>
      </c>
      <c r="Z100" s="20">
        <v>-2.8</v>
      </c>
      <c r="AA100" s="20">
        <v>0.2</v>
      </c>
      <c r="AB100" s="20">
        <v>4.8</v>
      </c>
      <c r="AC100" s="20">
        <v>4.0999999999999996</v>
      </c>
      <c r="AD100" s="20">
        <v>3.3</v>
      </c>
      <c r="AE100" s="19">
        <v>0</v>
      </c>
      <c r="AF100" s="19">
        <v>0.4</v>
      </c>
      <c r="AG100" s="19">
        <v>0.7</v>
      </c>
      <c r="AH100" s="19">
        <v>0.1</v>
      </c>
      <c r="AI100" s="15">
        <v>6.5</v>
      </c>
      <c r="AJ100" s="15">
        <v>6.8</v>
      </c>
      <c r="AK100" s="15">
        <v>6.8</v>
      </c>
      <c r="AL100" s="15">
        <v>6.6</v>
      </c>
      <c r="AM100" s="15">
        <v>6.5</v>
      </c>
      <c r="AN100" s="19">
        <v>0</v>
      </c>
      <c r="AO100" s="19">
        <v>0</v>
      </c>
      <c r="AP100" s="19">
        <v>0</v>
      </c>
      <c r="AQ100" s="19">
        <v>0</v>
      </c>
    </row>
    <row r="101" spans="2:43">
      <c r="B101">
        <f t="shared" si="194"/>
        <v>1991</v>
      </c>
      <c r="C101">
        <f t="shared" si="195"/>
        <v>8</v>
      </c>
      <c r="D101" s="7">
        <v>33456</v>
      </c>
      <c r="E101" s="67">
        <f>E100</f>
        <v>33417</v>
      </c>
      <c r="F101" s="4">
        <v>1</v>
      </c>
      <c r="G101" s="4">
        <v>1</v>
      </c>
      <c r="H101" s="10">
        <v>-0.11</v>
      </c>
      <c r="I101">
        <v>1.1497536599373101E-2</v>
      </c>
      <c r="J101" s="12" t="e">
        <f>NA()</f>
        <v>#N/A</v>
      </c>
      <c r="K101" s="17" t="e">
        <v>#N/A</v>
      </c>
      <c r="L101" s="17" t="e">
        <v>#N/A</v>
      </c>
      <c r="M101" s="30" t="e">
        <v>#N/A</v>
      </c>
      <c r="N101" s="17" t="e">
        <v>#N/A</v>
      </c>
      <c r="O101" s="14" t="e">
        <v>#N/A</v>
      </c>
      <c r="P101" s="18" t="e">
        <v>#N/A</v>
      </c>
      <c r="Q101" s="68">
        <f>Q100</f>
        <v>5.2</v>
      </c>
      <c r="R101" s="68">
        <f t="shared" ref="R101" si="292">R100</f>
        <v>3</v>
      </c>
      <c r="S101" s="68">
        <f t="shared" ref="S101" si="293">S100</f>
        <v>3.2</v>
      </c>
      <c r="T101" s="68">
        <f t="shared" ref="T101" si="294">T100</f>
        <v>3.3</v>
      </c>
      <c r="U101" s="68">
        <f t="shared" ref="U101" si="295">U100</f>
        <v>3.8</v>
      </c>
      <c r="V101" s="69">
        <v>0</v>
      </c>
      <c r="W101" s="69">
        <v>0</v>
      </c>
      <c r="X101" s="69">
        <v>0</v>
      </c>
      <c r="Y101" s="69">
        <v>0</v>
      </c>
      <c r="Z101" s="68">
        <f>Z100</f>
        <v>-2.8</v>
      </c>
      <c r="AA101" s="68">
        <f t="shared" ref="AA101" si="296">AA100</f>
        <v>0.2</v>
      </c>
      <c r="AB101" s="68">
        <f t="shared" ref="AB101" si="297">AB100</f>
        <v>4.8</v>
      </c>
      <c r="AC101" s="68">
        <f t="shared" ref="AC101" si="298">AC100</f>
        <v>4.0999999999999996</v>
      </c>
      <c r="AD101" s="68">
        <f t="shared" ref="AD101" si="299">AD100</f>
        <v>3.3</v>
      </c>
      <c r="AE101" s="69">
        <v>0</v>
      </c>
      <c r="AF101" s="69">
        <v>0</v>
      </c>
      <c r="AG101" s="69">
        <v>0</v>
      </c>
      <c r="AH101" s="69">
        <v>0</v>
      </c>
      <c r="AI101" s="68">
        <f>AI100</f>
        <v>6.5</v>
      </c>
      <c r="AJ101" s="68">
        <f t="shared" ref="AJ101" si="300">AJ100</f>
        <v>6.8</v>
      </c>
      <c r="AK101" s="68">
        <f t="shared" ref="AK101" si="301">AK100</f>
        <v>6.8</v>
      </c>
      <c r="AL101" s="68">
        <f t="shared" ref="AL101" si="302">AL100</f>
        <v>6.6</v>
      </c>
      <c r="AM101" s="68">
        <f t="shared" ref="AM101" si="303">AM100</f>
        <v>6.5</v>
      </c>
      <c r="AN101" s="69">
        <v>0</v>
      </c>
      <c r="AO101" s="69">
        <v>0</v>
      </c>
      <c r="AP101" s="69">
        <v>0</v>
      </c>
      <c r="AQ101" s="69">
        <v>0</v>
      </c>
    </row>
    <row r="102" spans="2:43">
      <c r="B102">
        <f t="shared" si="194"/>
        <v>1991</v>
      </c>
      <c r="C102">
        <f t="shared" si="195"/>
        <v>8</v>
      </c>
      <c r="D102" s="7">
        <v>33471</v>
      </c>
      <c r="E102" s="6">
        <v>33464</v>
      </c>
      <c r="F102" s="4">
        <v>1</v>
      </c>
      <c r="G102" s="4">
        <v>0</v>
      </c>
      <c r="H102" s="10">
        <v>0.03</v>
      </c>
      <c r="I102">
        <v>1.1497536599373101E-2</v>
      </c>
      <c r="J102" s="12">
        <v>82091</v>
      </c>
      <c r="K102" s="17">
        <v>33470</v>
      </c>
      <c r="L102" s="17">
        <v>33482</v>
      </c>
      <c r="M102" s="30">
        <v>33464</v>
      </c>
      <c r="N102" s="17">
        <v>33482</v>
      </c>
      <c r="O102" s="14">
        <v>0</v>
      </c>
      <c r="P102" s="18">
        <v>5.5</v>
      </c>
      <c r="Q102" s="20">
        <v>3.9</v>
      </c>
      <c r="R102" s="20">
        <v>2</v>
      </c>
      <c r="S102" s="20">
        <v>3.3</v>
      </c>
      <c r="T102" s="20">
        <v>3.8</v>
      </c>
      <c r="U102" s="20">
        <v>3.4</v>
      </c>
      <c r="V102" s="19">
        <v>0.9</v>
      </c>
      <c r="W102" s="19">
        <v>-1.2</v>
      </c>
      <c r="X102" s="19">
        <v>0</v>
      </c>
      <c r="Y102" s="19">
        <v>0</v>
      </c>
      <c r="Z102" s="20">
        <v>0.4</v>
      </c>
      <c r="AA102" s="20">
        <v>2.9</v>
      </c>
      <c r="AB102" s="20">
        <v>3.6</v>
      </c>
      <c r="AC102" s="20">
        <v>3.9</v>
      </c>
      <c r="AD102" s="20">
        <v>3.1</v>
      </c>
      <c r="AE102" s="19">
        <v>0.2</v>
      </c>
      <c r="AF102" s="19">
        <v>-1.9</v>
      </c>
      <c r="AG102" s="19">
        <v>-0.5</v>
      </c>
      <c r="AH102" s="19">
        <v>0.6</v>
      </c>
      <c r="AI102" s="15">
        <v>6.8</v>
      </c>
      <c r="AJ102" s="15">
        <v>6.8</v>
      </c>
      <c r="AK102" s="15">
        <v>6.8</v>
      </c>
      <c r="AL102" s="15">
        <v>6.6</v>
      </c>
      <c r="AM102" s="15">
        <v>6.5</v>
      </c>
      <c r="AN102" s="19">
        <v>0</v>
      </c>
      <c r="AO102" s="19">
        <v>0</v>
      </c>
      <c r="AP102" s="19">
        <v>0.2</v>
      </c>
      <c r="AQ102" s="19">
        <v>0.1</v>
      </c>
    </row>
    <row r="103" spans="2:43">
      <c r="B103">
        <f t="shared" si="194"/>
        <v>1991</v>
      </c>
      <c r="C103">
        <f t="shared" si="195"/>
        <v>9</v>
      </c>
      <c r="D103" s="7">
        <v>33494</v>
      </c>
      <c r="E103" s="67">
        <f>E102</f>
        <v>33464</v>
      </c>
      <c r="F103" s="4">
        <v>1</v>
      </c>
      <c r="G103" s="4">
        <v>1</v>
      </c>
      <c r="H103" s="10">
        <v>0</v>
      </c>
      <c r="I103">
        <v>4.1332557489780201E-2</v>
      </c>
      <c r="J103" s="12" t="e">
        <f>NA()</f>
        <v>#N/A</v>
      </c>
      <c r="K103" s="17" t="e">
        <v>#N/A</v>
      </c>
      <c r="L103" s="17" t="e">
        <v>#N/A</v>
      </c>
      <c r="M103" s="30" t="e">
        <v>#N/A</v>
      </c>
      <c r="N103" s="17" t="e">
        <v>#N/A</v>
      </c>
      <c r="O103" s="14" t="e">
        <v>#N/A</v>
      </c>
      <c r="P103" s="18" t="e">
        <v>#N/A</v>
      </c>
      <c r="Q103" s="68">
        <f>R102</f>
        <v>2</v>
      </c>
      <c r="R103" s="68">
        <f>S102</f>
        <v>3.3</v>
      </c>
      <c r="S103" s="68">
        <f t="shared" ref="S103" si="304">T102</f>
        <v>3.8</v>
      </c>
      <c r="T103" s="68">
        <f>U102</f>
        <v>3.4</v>
      </c>
      <c r="U103" s="70">
        <v>2.9</v>
      </c>
      <c r="V103" s="69">
        <v>0</v>
      </c>
      <c r="W103" s="69">
        <v>0</v>
      </c>
      <c r="X103" s="69">
        <v>0</v>
      </c>
      <c r="Y103" s="69">
        <v>0</v>
      </c>
      <c r="Z103" s="68">
        <f>AA102</f>
        <v>2.9</v>
      </c>
      <c r="AA103" s="68">
        <f>AB102</f>
        <v>3.6</v>
      </c>
      <c r="AB103" s="68">
        <f t="shared" ref="AB103" si="305">AC102</f>
        <v>3.9</v>
      </c>
      <c r="AC103" s="68">
        <f>AD102</f>
        <v>3.1</v>
      </c>
      <c r="AD103" s="70">
        <v>2.8</v>
      </c>
      <c r="AE103" s="69">
        <v>0</v>
      </c>
      <c r="AF103" s="69">
        <v>0</v>
      </c>
      <c r="AG103" s="69">
        <v>0</v>
      </c>
      <c r="AH103" s="69">
        <v>0</v>
      </c>
      <c r="AI103" s="68">
        <f>AJ102</f>
        <v>6.8</v>
      </c>
      <c r="AJ103" s="68">
        <f>AK102</f>
        <v>6.8</v>
      </c>
      <c r="AK103" s="68">
        <f t="shared" ref="AK103" si="306">AL102</f>
        <v>6.6</v>
      </c>
      <c r="AL103" s="68">
        <f>AM102</f>
        <v>6.5</v>
      </c>
      <c r="AM103" s="70">
        <v>6.5</v>
      </c>
      <c r="AN103" s="69">
        <v>0</v>
      </c>
      <c r="AO103" s="69">
        <v>0</v>
      </c>
      <c r="AP103" s="69">
        <v>0</v>
      </c>
      <c r="AQ103" s="69">
        <v>0</v>
      </c>
    </row>
    <row r="104" spans="2:43">
      <c r="B104">
        <f t="shared" si="194"/>
        <v>1991</v>
      </c>
      <c r="C104">
        <f t="shared" si="195"/>
        <v>10</v>
      </c>
      <c r="D104" s="7">
        <v>33513</v>
      </c>
      <c r="E104" s="6">
        <v>33506</v>
      </c>
      <c r="F104" s="4">
        <v>1</v>
      </c>
      <c r="G104" s="4">
        <v>0</v>
      </c>
      <c r="H104" s="10">
        <v>0</v>
      </c>
      <c r="I104">
        <v>4.0310745125586599E-2</v>
      </c>
      <c r="J104" s="12">
        <v>100191</v>
      </c>
      <c r="K104" s="17">
        <v>33512</v>
      </c>
      <c r="L104" s="17">
        <v>33573</v>
      </c>
      <c r="M104" s="30">
        <v>33506</v>
      </c>
      <c r="N104" s="17">
        <v>33482</v>
      </c>
      <c r="O104" s="14">
        <v>0</v>
      </c>
      <c r="P104" s="18">
        <v>5.25</v>
      </c>
      <c r="Q104" s="20">
        <v>4.2</v>
      </c>
      <c r="R104" s="20">
        <v>1.6</v>
      </c>
      <c r="S104" s="20">
        <v>2.5</v>
      </c>
      <c r="T104" s="20">
        <v>3.5</v>
      </c>
      <c r="U104" s="20">
        <v>3.1</v>
      </c>
      <c r="V104" s="19">
        <v>0.3</v>
      </c>
      <c r="W104" s="19">
        <v>-0.4</v>
      </c>
      <c r="X104" s="19">
        <v>-0.8</v>
      </c>
      <c r="Y104" s="19">
        <v>-0.3</v>
      </c>
      <c r="Z104" s="20">
        <v>-0.1</v>
      </c>
      <c r="AA104" s="20">
        <v>2.8</v>
      </c>
      <c r="AB104" s="20">
        <v>3.2</v>
      </c>
      <c r="AC104" s="20">
        <v>3.6</v>
      </c>
      <c r="AD104" s="20">
        <v>3.5</v>
      </c>
      <c r="AE104" s="19">
        <v>-0.5</v>
      </c>
      <c r="AF104" s="19">
        <v>-0.1</v>
      </c>
      <c r="AG104" s="19">
        <v>-0.4</v>
      </c>
      <c r="AH104" s="19">
        <v>-0.3</v>
      </c>
      <c r="AI104" s="15">
        <v>6.8</v>
      </c>
      <c r="AJ104" s="15">
        <v>6.8</v>
      </c>
      <c r="AK104" s="15">
        <v>6.8</v>
      </c>
      <c r="AL104" s="15">
        <v>6.7</v>
      </c>
      <c r="AM104" s="15">
        <v>6.7</v>
      </c>
      <c r="AN104" s="19">
        <v>0</v>
      </c>
      <c r="AO104" s="19">
        <v>0</v>
      </c>
      <c r="AP104" s="19">
        <v>0</v>
      </c>
      <c r="AQ104" s="19">
        <v>0.1</v>
      </c>
    </row>
    <row r="105" spans="2:43">
      <c r="B105">
        <f t="shared" si="194"/>
        <v>1991</v>
      </c>
      <c r="C105">
        <f t="shared" si="195"/>
        <v>10</v>
      </c>
      <c r="D105" s="7">
        <v>33541</v>
      </c>
      <c r="E105" s="67">
        <f>E104</f>
        <v>33506</v>
      </c>
      <c r="F105" s="4">
        <v>1</v>
      </c>
      <c r="G105" s="4">
        <v>1</v>
      </c>
      <c r="H105" s="10">
        <v>-0.04</v>
      </c>
      <c r="I105">
        <v>4.0310745125586599E-2</v>
      </c>
      <c r="J105" s="12" t="e">
        <f>NA()</f>
        <v>#N/A</v>
      </c>
      <c r="K105" s="17" t="e">
        <v>#N/A</v>
      </c>
      <c r="L105" s="17" t="e">
        <v>#N/A</v>
      </c>
      <c r="M105" s="30" t="e">
        <v>#N/A</v>
      </c>
      <c r="N105" s="17" t="e">
        <v>#N/A</v>
      </c>
      <c r="O105" s="14" t="e">
        <v>#N/A</v>
      </c>
      <c r="P105" s="18" t="e">
        <v>#N/A</v>
      </c>
      <c r="Q105" s="68">
        <f>Q104</f>
        <v>4.2</v>
      </c>
      <c r="R105" s="68">
        <f t="shared" ref="R105" si="307">R104</f>
        <v>1.6</v>
      </c>
      <c r="S105" s="68">
        <f t="shared" ref="S105" si="308">S104</f>
        <v>2.5</v>
      </c>
      <c r="T105" s="68">
        <f t="shared" ref="T105" si="309">T104</f>
        <v>3.5</v>
      </c>
      <c r="U105" s="68">
        <f t="shared" ref="U105" si="310">U104</f>
        <v>3.1</v>
      </c>
      <c r="V105" s="69">
        <v>0</v>
      </c>
      <c r="W105" s="69">
        <v>0</v>
      </c>
      <c r="X105" s="69">
        <v>0</v>
      </c>
      <c r="Y105" s="69">
        <v>0</v>
      </c>
      <c r="Z105" s="68">
        <f>Z104</f>
        <v>-0.1</v>
      </c>
      <c r="AA105" s="68">
        <f t="shared" ref="AA105" si="311">AA104</f>
        <v>2.8</v>
      </c>
      <c r="AB105" s="68">
        <f t="shared" ref="AB105" si="312">AB104</f>
        <v>3.2</v>
      </c>
      <c r="AC105" s="68">
        <f t="shared" ref="AC105" si="313">AC104</f>
        <v>3.6</v>
      </c>
      <c r="AD105" s="68">
        <f t="shared" ref="AD105" si="314">AD104</f>
        <v>3.5</v>
      </c>
      <c r="AE105" s="69">
        <v>0</v>
      </c>
      <c r="AF105" s="69">
        <v>0</v>
      </c>
      <c r="AG105" s="69">
        <v>0</v>
      </c>
      <c r="AH105" s="69">
        <v>0</v>
      </c>
      <c r="AI105" s="68">
        <f>AI104</f>
        <v>6.8</v>
      </c>
      <c r="AJ105" s="68">
        <f t="shared" ref="AJ105" si="315">AJ104</f>
        <v>6.8</v>
      </c>
      <c r="AK105" s="68">
        <f t="shared" ref="AK105" si="316">AK104</f>
        <v>6.8</v>
      </c>
      <c r="AL105" s="68">
        <f t="shared" ref="AL105" si="317">AL104</f>
        <v>6.7</v>
      </c>
      <c r="AM105" s="68">
        <f t="shared" ref="AM105" si="318">AM104</f>
        <v>6.7</v>
      </c>
      <c r="AN105" s="69">
        <v>0</v>
      </c>
      <c r="AO105" s="69">
        <v>0</v>
      </c>
      <c r="AP105" s="69">
        <v>0</v>
      </c>
      <c r="AQ105" s="69">
        <v>0</v>
      </c>
    </row>
    <row r="106" spans="2:43" ht="18" customHeight="1">
      <c r="B106">
        <f t="shared" si="194"/>
        <v>1991</v>
      </c>
      <c r="C106">
        <f t="shared" si="195"/>
        <v>11</v>
      </c>
      <c r="D106" s="7">
        <v>33548</v>
      </c>
      <c r="E106" s="6">
        <v>33541</v>
      </c>
      <c r="F106" s="4">
        <v>1</v>
      </c>
      <c r="G106" s="4">
        <v>0</v>
      </c>
      <c r="H106" s="10">
        <v>-0.12</v>
      </c>
      <c r="I106">
        <v>-2.7283082203988201E-2</v>
      </c>
      <c r="J106" s="12">
        <v>110591</v>
      </c>
      <c r="K106" s="17">
        <v>33547</v>
      </c>
      <c r="L106" s="17">
        <v>33573</v>
      </c>
      <c r="M106" s="30">
        <v>33541</v>
      </c>
      <c r="N106" s="17">
        <v>33573</v>
      </c>
      <c r="O106" s="14">
        <v>-0.5</v>
      </c>
      <c r="P106" s="18">
        <v>5.25</v>
      </c>
      <c r="Q106" s="20">
        <v>1.8</v>
      </c>
      <c r="R106" s="20">
        <v>2.2000000000000002</v>
      </c>
      <c r="S106" s="20">
        <v>3.7</v>
      </c>
      <c r="T106" s="20">
        <v>2.9</v>
      </c>
      <c r="U106" s="20">
        <v>2.7</v>
      </c>
      <c r="V106" s="19">
        <v>0.2</v>
      </c>
      <c r="W106" s="19">
        <v>-0.3</v>
      </c>
      <c r="X106" s="19">
        <v>0.2</v>
      </c>
      <c r="Y106" s="19">
        <v>-0.2</v>
      </c>
      <c r="Z106" s="20">
        <v>2.4</v>
      </c>
      <c r="AA106" s="20">
        <v>1.2</v>
      </c>
      <c r="AB106" s="20">
        <v>1.8</v>
      </c>
      <c r="AC106" s="20">
        <v>3</v>
      </c>
      <c r="AD106" s="20">
        <v>3.8</v>
      </c>
      <c r="AE106" s="19">
        <v>-0.4</v>
      </c>
      <c r="AF106" s="19">
        <v>-2</v>
      </c>
      <c r="AG106" s="19">
        <v>-1.8</v>
      </c>
      <c r="AH106" s="19">
        <v>-0.5</v>
      </c>
      <c r="AI106" s="15">
        <v>6.8</v>
      </c>
      <c r="AJ106" s="15">
        <v>6.9</v>
      </c>
      <c r="AK106" s="15">
        <v>7</v>
      </c>
      <c r="AL106" s="15">
        <v>7</v>
      </c>
      <c r="AM106" s="15">
        <v>6.9</v>
      </c>
      <c r="AN106" s="19">
        <v>0</v>
      </c>
      <c r="AO106" s="19">
        <v>0.1</v>
      </c>
      <c r="AP106" s="19">
        <v>0.3</v>
      </c>
      <c r="AQ106" s="19">
        <v>0.3</v>
      </c>
    </row>
    <row r="107" spans="2:43">
      <c r="B107">
        <f t="shared" si="194"/>
        <v>1991</v>
      </c>
      <c r="C107">
        <f t="shared" si="195"/>
        <v>12</v>
      </c>
      <c r="D107" s="7">
        <v>33578</v>
      </c>
      <c r="E107" s="67">
        <f>E106</f>
        <v>33541</v>
      </c>
      <c r="F107" s="4">
        <v>0</v>
      </c>
      <c r="G107" s="4">
        <v>0</v>
      </c>
      <c r="H107" s="10">
        <v>-0.01</v>
      </c>
      <c r="I107">
        <v>-0.14523439989461701</v>
      </c>
      <c r="J107" s="12" t="e">
        <f>NA()</f>
        <v>#N/A</v>
      </c>
      <c r="K107" s="17" t="e">
        <v>#N/A</v>
      </c>
      <c r="L107" s="17" t="e">
        <v>#N/A</v>
      </c>
      <c r="M107" s="30" t="e">
        <v>#N/A</v>
      </c>
      <c r="N107" s="17" t="e">
        <v>#N/A</v>
      </c>
      <c r="O107" s="14" t="e">
        <v>#N/A</v>
      </c>
      <c r="P107" s="18" t="e">
        <v>#N/A</v>
      </c>
      <c r="Q107" s="68">
        <f>Q106</f>
        <v>1.8</v>
      </c>
      <c r="R107" s="68">
        <f t="shared" ref="R107" si="319">R106</f>
        <v>2.2000000000000002</v>
      </c>
      <c r="S107" s="68">
        <f t="shared" ref="S107" si="320">S106</f>
        <v>3.7</v>
      </c>
      <c r="T107" s="68">
        <f t="shared" ref="T107" si="321">T106</f>
        <v>2.9</v>
      </c>
      <c r="U107" s="68">
        <f t="shared" ref="U107" si="322">U106</f>
        <v>2.7</v>
      </c>
      <c r="V107" s="69">
        <v>0</v>
      </c>
      <c r="W107" s="69">
        <v>0</v>
      </c>
      <c r="X107" s="69">
        <v>0</v>
      </c>
      <c r="Y107" s="69">
        <v>0</v>
      </c>
      <c r="Z107" s="68">
        <f>Z106</f>
        <v>2.4</v>
      </c>
      <c r="AA107" s="68">
        <f t="shared" ref="AA107" si="323">AA106</f>
        <v>1.2</v>
      </c>
      <c r="AB107" s="68">
        <f t="shared" ref="AB107" si="324">AB106</f>
        <v>1.8</v>
      </c>
      <c r="AC107" s="68">
        <f t="shared" ref="AC107" si="325">AC106</f>
        <v>3</v>
      </c>
      <c r="AD107" s="68">
        <f t="shared" ref="AD107" si="326">AD106</f>
        <v>3.8</v>
      </c>
      <c r="AE107" s="69">
        <v>0</v>
      </c>
      <c r="AF107" s="69">
        <v>0</v>
      </c>
      <c r="AG107" s="69">
        <v>0</v>
      </c>
      <c r="AH107" s="69">
        <v>0</v>
      </c>
      <c r="AI107" s="68">
        <f>AI106</f>
        <v>6.8</v>
      </c>
      <c r="AJ107" s="68">
        <f t="shared" ref="AJ107" si="327">AJ106</f>
        <v>6.9</v>
      </c>
      <c r="AK107" s="68">
        <f t="shared" ref="AK107" si="328">AK106</f>
        <v>7</v>
      </c>
      <c r="AL107" s="68">
        <f t="shared" ref="AL107" si="329">AL106</f>
        <v>7</v>
      </c>
      <c r="AM107" s="68">
        <f t="shared" ref="AM107" si="330">AM106</f>
        <v>6.9</v>
      </c>
      <c r="AN107" s="69">
        <v>0</v>
      </c>
      <c r="AO107" s="69">
        <v>0</v>
      </c>
      <c r="AP107" s="69">
        <v>0</v>
      </c>
      <c r="AQ107" s="69">
        <v>0</v>
      </c>
    </row>
    <row r="108" spans="2:43">
      <c r="B108">
        <f t="shared" si="194"/>
        <v>1991</v>
      </c>
      <c r="C108">
        <f t="shared" si="195"/>
        <v>12</v>
      </c>
      <c r="D108" s="7">
        <v>33590</v>
      </c>
      <c r="E108" s="6">
        <v>33583</v>
      </c>
      <c r="F108" s="4">
        <v>1</v>
      </c>
      <c r="G108" s="4">
        <v>0</v>
      </c>
      <c r="H108" s="10">
        <v>0.01</v>
      </c>
      <c r="I108">
        <v>-0.14523439989461701</v>
      </c>
      <c r="J108" s="12">
        <v>121791</v>
      </c>
      <c r="K108" s="17">
        <v>33589</v>
      </c>
      <c r="L108" s="17">
        <v>33573</v>
      </c>
      <c r="M108" s="30">
        <v>33583</v>
      </c>
      <c r="N108" s="17">
        <v>33573</v>
      </c>
      <c r="O108" s="14">
        <v>-0.25</v>
      </c>
      <c r="P108" s="18">
        <v>4.5</v>
      </c>
      <c r="Q108" s="20">
        <v>2.1</v>
      </c>
      <c r="R108" s="20">
        <v>2.9</v>
      </c>
      <c r="S108" s="20">
        <v>4.0999999999999996</v>
      </c>
      <c r="T108" s="20">
        <v>2.9</v>
      </c>
      <c r="U108" s="20">
        <v>2.7</v>
      </c>
      <c r="V108" s="19">
        <v>0.3</v>
      </c>
      <c r="W108" s="19">
        <v>0.7</v>
      </c>
      <c r="X108" s="19">
        <v>0.4</v>
      </c>
      <c r="Y108" s="19">
        <v>0</v>
      </c>
      <c r="Z108" s="20">
        <v>1.7</v>
      </c>
      <c r="AA108" s="20">
        <v>-0.2</v>
      </c>
      <c r="AB108" s="20">
        <v>-0.8</v>
      </c>
      <c r="AC108" s="20">
        <v>2.6</v>
      </c>
      <c r="AD108" s="20">
        <v>2.6</v>
      </c>
      <c r="AE108" s="19">
        <v>-0.7</v>
      </c>
      <c r="AF108" s="19">
        <v>-1.4</v>
      </c>
      <c r="AG108" s="19">
        <v>-2.6</v>
      </c>
      <c r="AH108" s="19">
        <v>-0.4</v>
      </c>
      <c r="AI108" s="15">
        <v>6.8</v>
      </c>
      <c r="AJ108" s="15">
        <v>6.9</v>
      </c>
      <c r="AK108" s="15">
        <v>7.1</v>
      </c>
      <c r="AL108" s="15">
        <v>7.2</v>
      </c>
      <c r="AM108" s="15">
        <v>7.2</v>
      </c>
      <c r="AN108" s="19">
        <v>0</v>
      </c>
      <c r="AO108" s="19">
        <v>0</v>
      </c>
      <c r="AP108" s="19">
        <v>0.1</v>
      </c>
      <c r="AQ108" s="19">
        <v>0.2</v>
      </c>
    </row>
    <row r="109" spans="2:43">
      <c r="B109">
        <f t="shared" si="194"/>
        <v>1991</v>
      </c>
      <c r="C109">
        <f t="shared" si="195"/>
        <v>12</v>
      </c>
      <c r="D109" s="7">
        <v>33592</v>
      </c>
      <c r="E109" s="67">
        <f>E108</f>
        <v>33583</v>
      </c>
      <c r="F109" s="4">
        <v>0</v>
      </c>
      <c r="G109" s="4">
        <v>0</v>
      </c>
      <c r="H109" s="10">
        <v>-0.25</v>
      </c>
      <c r="I109">
        <v>-0.14523439989461701</v>
      </c>
      <c r="J109" s="12" t="e">
        <f>NA()</f>
        <v>#N/A</v>
      </c>
      <c r="K109" s="17" t="e">
        <v>#N/A</v>
      </c>
      <c r="L109" s="17" t="e">
        <v>#N/A</v>
      </c>
      <c r="M109" s="30" t="e">
        <v>#N/A</v>
      </c>
      <c r="N109" s="17" t="e">
        <v>#N/A</v>
      </c>
      <c r="O109" s="14" t="e">
        <v>#N/A</v>
      </c>
      <c r="P109" s="18" t="e">
        <v>#N/A</v>
      </c>
      <c r="Q109" s="68">
        <f>Q108</f>
        <v>2.1</v>
      </c>
      <c r="R109" s="68">
        <f t="shared" ref="R109" si="331">R108</f>
        <v>2.9</v>
      </c>
      <c r="S109" s="68">
        <f t="shared" ref="S109" si="332">S108</f>
        <v>4.0999999999999996</v>
      </c>
      <c r="T109" s="68">
        <f t="shared" ref="T109" si="333">T108</f>
        <v>2.9</v>
      </c>
      <c r="U109" s="68">
        <f t="shared" ref="U109" si="334">U108</f>
        <v>2.7</v>
      </c>
      <c r="V109" s="69">
        <v>0</v>
      </c>
      <c r="W109" s="69">
        <v>0</v>
      </c>
      <c r="X109" s="69">
        <v>0</v>
      </c>
      <c r="Y109" s="69">
        <v>0</v>
      </c>
      <c r="Z109" s="68">
        <f>Z108</f>
        <v>1.7</v>
      </c>
      <c r="AA109" s="68">
        <f t="shared" ref="AA109" si="335">AA108</f>
        <v>-0.2</v>
      </c>
      <c r="AB109" s="68">
        <f t="shared" ref="AB109" si="336">AB108</f>
        <v>-0.8</v>
      </c>
      <c r="AC109" s="68">
        <f t="shared" ref="AC109" si="337">AC108</f>
        <v>2.6</v>
      </c>
      <c r="AD109" s="68">
        <f t="shared" ref="AD109" si="338">AD108</f>
        <v>2.6</v>
      </c>
      <c r="AE109" s="69">
        <v>0</v>
      </c>
      <c r="AF109" s="69">
        <v>0</v>
      </c>
      <c r="AG109" s="69">
        <v>0</v>
      </c>
      <c r="AH109" s="69">
        <v>0</v>
      </c>
      <c r="AI109" s="68">
        <f>AI108</f>
        <v>6.8</v>
      </c>
      <c r="AJ109" s="68">
        <f t="shared" ref="AJ109" si="339">AJ108</f>
        <v>6.9</v>
      </c>
      <c r="AK109" s="68">
        <f t="shared" ref="AK109" si="340">AK108</f>
        <v>7.1</v>
      </c>
      <c r="AL109" s="68">
        <f t="shared" ref="AL109" si="341">AL108</f>
        <v>7.2</v>
      </c>
      <c r="AM109" s="68">
        <f t="shared" ref="AM109" si="342">AM108</f>
        <v>7.2</v>
      </c>
      <c r="AN109" s="69">
        <v>0</v>
      </c>
      <c r="AO109" s="69">
        <v>0</v>
      </c>
      <c r="AP109" s="69">
        <v>0</v>
      </c>
      <c r="AQ109" s="69">
        <v>0</v>
      </c>
    </row>
    <row r="110" spans="2:43">
      <c r="B110">
        <f t="shared" si="194"/>
        <v>1992</v>
      </c>
      <c r="C110">
        <f t="shared" si="195"/>
        <v>2</v>
      </c>
      <c r="D110" s="7">
        <v>33640</v>
      </c>
      <c r="E110" s="6">
        <v>33633</v>
      </c>
      <c r="F110" s="4">
        <v>1</v>
      </c>
      <c r="G110" s="4">
        <v>0</v>
      </c>
      <c r="H110" s="10">
        <v>0</v>
      </c>
      <c r="I110">
        <v>2.92765648142197E-2</v>
      </c>
      <c r="J110" s="12">
        <v>20592</v>
      </c>
      <c r="K110" s="17">
        <v>33639</v>
      </c>
      <c r="L110" s="17">
        <v>33664</v>
      </c>
      <c r="M110" s="30">
        <v>33633</v>
      </c>
      <c r="N110" s="17">
        <v>33664</v>
      </c>
      <c r="O110" s="14">
        <v>0</v>
      </c>
      <c r="P110" s="18">
        <v>4</v>
      </c>
      <c r="Q110" s="20">
        <v>1.7</v>
      </c>
      <c r="R110" s="20">
        <v>3.8</v>
      </c>
      <c r="S110" s="20">
        <v>2.9</v>
      </c>
      <c r="T110" s="20">
        <v>2.5</v>
      </c>
      <c r="U110" s="20">
        <v>2.2999999999999998</v>
      </c>
      <c r="V110" s="19">
        <v>-1.2</v>
      </c>
      <c r="W110" s="19">
        <v>-0.3</v>
      </c>
      <c r="X110" s="19">
        <v>0</v>
      </c>
      <c r="Y110" s="19">
        <v>-0.2</v>
      </c>
      <c r="Z110" s="20">
        <v>0.3</v>
      </c>
      <c r="AA110" s="20">
        <v>0.4</v>
      </c>
      <c r="AB110" s="20">
        <v>1.9</v>
      </c>
      <c r="AC110" s="20">
        <v>2.9</v>
      </c>
      <c r="AD110" s="20">
        <v>3.3</v>
      </c>
      <c r="AE110" s="19">
        <v>0.5</v>
      </c>
      <c r="AF110" s="19">
        <v>1.2</v>
      </c>
      <c r="AG110" s="19">
        <v>-0.7</v>
      </c>
      <c r="AH110" s="19">
        <v>0.3</v>
      </c>
      <c r="AI110" s="15">
        <v>6.9</v>
      </c>
      <c r="AJ110" s="15">
        <v>7.1</v>
      </c>
      <c r="AK110" s="15">
        <v>7.3</v>
      </c>
      <c r="AL110" s="15">
        <v>7.3</v>
      </c>
      <c r="AM110" s="15">
        <v>7.2</v>
      </c>
      <c r="AN110" s="19">
        <v>0</v>
      </c>
      <c r="AO110" s="19">
        <v>0</v>
      </c>
      <c r="AP110" s="19">
        <v>0.1</v>
      </c>
      <c r="AQ110" s="19">
        <v>0.1</v>
      </c>
    </row>
    <row r="111" spans="2:43">
      <c r="B111">
        <f t="shared" si="194"/>
        <v>1992</v>
      </c>
      <c r="C111">
        <f t="shared" si="195"/>
        <v>4</v>
      </c>
      <c r="D111" s="7">
        <v>33695</v>
      </c>
      <c r="E111" s="6">
        <v>33688</v>
      </c>
      <c r="F111" s="4">
        <v>1</v>
      </c>
      <c r="G111" s="4">
        <v>0</v>
      </c>
      <c r="H111" s="10">
        <v>-0.01</v>
      </c>
      <c r="I111">
        <v>-0.17428921453257801</v>
      </c>
      <c r="J111" s="12">
        <v>33192</v>
      </c>
      <c r="K111" s="17">
        <v>33694</v>
      </c>
      <c r="L111" s="17">
        <v>33664</v>
      </c>
      <c r="M111" s="30">
        <v>33688</v>
      </c>
      <c r="N111" s="17">
        <v>33664</v>
      </c>
      <c r="O111" s="14">
        <v>0</v>
      </c>
      <c r="P111" s="18">
        <v>4</v>
      </c>
      <c r="Q111" s="20">
        <v>1.7</v>
      </c>
      <c r="R111" s="20">
        <v>3.2</v>
      </c>
      <c r="S111" s="20">
        <v>2.7</v>
      </c>
      <c r="T111" s="20">
        <v>2.6</v>
      </c>
      <c r="U111" s="20">
        <v>2.5</v>
      </c>
      <c r="V111" s="19">
        <v>0</v>
      </c>
      <c r="W111" s="19">
        <v>-0.6</v>
      </c>
      <c r="X111" s="19">
        <v>-0.2</v>
      </c>
      <c r="Y111" s="19">
        <v>0.1</v>
      </c>
      <c r="Z111" s="20">
        <v>0.8</v>
      </c>
      <c r="AA111" s="20">
        <v>1.6</v>
      </c>
      <c r="AB111" s="20">
        <v>2.9</v>
      </c>
      <c r="AC111" s="20">
        <v>3.1</v>
      </c>
      <c r="AD111" s="20">
        <v>3.2</v>
      </c>
      <c r="AE111" s="19">
        <v>0.5</v>
      </c>
      <c r="AF111" s="19">
        <v>1.2</v>
      </c>
      <c r="AG111" s="19">
        <v>1</v>
      </c>
      <c r="AH111" s="19">
        <v>0.2</v>
      </c>
      <c r="AI111" s="15">
        <v>6.9</v>
      </c>
      <c r="AJ111" s="15">
        <v>7.2</v>
      </c>
      <c r="AK111" s="15">
        <v>7.3</v>
      </c>
      <c r="AL111" s="15">
        <v>7.2</v>
      </c>
      <c r="AM111" s="15">
        <v>7.1</v>
      </c>
      <c r="AN111" s="19">
        <v>0</v>
      </c>
      <c r="AO111" s="19">
        <v>0.1</v>
      </c>
      <c r="AP111" s="19">
        <v>0</v>
      </c>
      <c r="AQ111" s="19">
        <v>-0.1</v>
      </c>
    </row>
    <row r="112" spans="2:43">
      <c r="B112">
        <f t="shared" si="194"/>
        <v>1992</v>
      </c>
      <c r="C112">
        <f t="shared" si="195"/>
        <v>4</v>
      </c>
      <c r="D112" s="7">
        <v>33703</v>
      </c>
      <c r="E112" s="67">
        <f>E111</f>
        <v>33688</v>
      </c>
      <c r="F112" s="4">
        <v>0</v>
      </c>
      <c r="G112" s="4">
        <v>0</v>
      </c>
      <c r="H112" s="10">
        <v>-0.19</v>
      </c>
      <c r="I112">
        <v>-0.17428921453257801</v>
      </c>
      <c r="J112" s="12" t="e">
        <f>NA()</f>
        <v>#N/A</v>
      </c>
      <c r="K112" s="17" t="e">
        <v>#N/A</v>
      </c>
      <c r="L112" s="17" t="e">
        <v>#N/A</v>
      </c>
      <c r="M112" s="30" t="e">
        <v>#N/A</v>
      </c>
      <c r="N112" s="17" t="e">
        <v>#N/A</v>
      </c>
      <c r="O112" s="14" t="e">
        <v>#N/A</v>
      </c>
      <c r="P112" s="18" t="e">
        <v>#N/A</v>
      </c>
      <c r="Q112" s="68">
        <f>Q111</f>
        <v>1.7</v>
      </c>
      <c r="R112" s="68">
        <f t="shared" ref="R112" si="343">R111</f>
        <v>3.2</v>
      </c>
      <c r="S112" s="68">
        <f t="shared" ref="S112" si="344">S111</f>
        <v>2.7</v>
      </c>
      <c r="T112" s="68">
        <f t="shared" ref="T112" si="345">T111</f>
        <v>2.6</v>
      </c>
      <c r="U112" s="68">
        <f t="shared" ref="U112" si="346">U111</f>
        <v>2.5</v>
      </c>
      <c r="V112" s="69">
        <v>0</v>
      </c>
      <c r="W112" s="69">
        <v>0</v>
      </c>
      <c r="X112" s="69">
        <v>0</v>
      </c>
      <c r="Y112" s="69">
        <v>0</v>
      </c>
      <c r="Z112" s="68">
        <f>Z111</f>
        <v>0.8</v>
      </c>
      <c r="AA112" s="68">
        <f t="shared" ref="AA112" si="347">AA111</f>
        <v>1.6</v>
      </c>
      <c r="AB112" s="68">
        <f t="shared" ref="AB112" si="348">AB111</f>
        <v>2.9</v>
      </c>
      <c r="AC112" s="68">
        <f t="shared" ref="AC112" si="349">AC111</f>
        <v>3.1</v>
      </c>
      <c r="AD112" s="68">
        <f t="shared" ref="AD112" si="350">AD111</f>
        <v>3.2</v>
      </c>
      <c r="AE112" s="69">
        <v>0</v>
      </c>
      <c r="AF112" s="69">
        <v>0</v>
      </c>
      <c r="AG112" s="69">
        <v>0</v>
      </c>
      <c r="AH112" s="69">
        <v>0</v>
      </c>
      <c r="AI112" s="68">
        <f>AI111</f>
        <v>6.9</v>
      </c>
      <c r="AJ112" s="68">
        <f t="shared" ref="AJ112" si="351">AJ111</f>
        <v>7.2</v>
      </c>
      <c r="AK112" s="68">
        <f t="shared" ref="AK112" si="352">AK111</f>
        <v>7.3</v>
      </c>
      <c r="AL112" s="68">
        <f t="shared" ref="AL112" si="353">AL111</f>
        <v>7.2</v>
      </c>
      <c r="AM112" s="68">
        <f t="shared" ref="AM112" si="354">AM111</f>
        <v>7.1</v>
      </c>
      <c r="AN112" s="69">
        <v>0</v>
      </c>
      <c r="AO112" s="69">
        <v>0</v>
      </c>
      <c r="AP112" s="69">
        <v>0</v>
      </c>
      <c r="AQ112" s="69">
        <v>0</v>
      </c>
    </row>
    <row r="113" spans="2:43">
      <c r="B113">
        <f t="shared" si="194"/>
        <v>1992</v>
      </c>
      <c r="C113">
        <f t="shared" si="195"/>
        <v>5</v>
      </c>
      <c r="D113" s="7">
        <v>33744</v>
      </c>
      <c r="E113" s="6">
        <v>33738</v>
      </c>
      <c r="F113" s="4">
        <v>1</v>
      </c>
      <c r="G113" s="4">
        <v>0</v>
      </c>
      <c r="H113" s="10">
        <v>9.9900000000000006E-3</v>
      </c>
      <c r="I113">
        <v>2.9501643624414299E-2</v>
      </c>
      <c r="J113" s="12">
        <v>51992</v>
      </c>
      <c r="K113" s="17">
        <v>33743</v>
      </c>
      <c r="L113" s="17">
        <v>33756</v>
      </c>
      <c r="M113" s="30">
        <v>33738</v>
      </c>
      <c r="N113" s="17">
        <v>33756</v>
      </c>
      <c r="O113" s="14">
        <v>0</v>
      </c>
      <c r="P113" s="18">
        <v>3.75</v>
      </c>
      <c r="Q113" s="20">
        <v>3.1</v>
      </c>
      <c r="R113" s="20">
        <v>2.7</v>
      </c>
      <c r="S113" s="20">
        <v>2.8</v>
      </c>
      <c r="T113" s="20">
        <v>2.7</v>
      </c>
      <c r="U113" s="20">
        <v>3</v>
      </c>
      <c r="V113" s="19">
        <v>-0.1</v>
      </c>
      <c r="W113" s="19">
        <v>0</v>
      </c>
      <c r="X113" s="19">
        <v>0.2</v>
      </c>
      <c r="Y113" s="19">
        <v>0.2</v>
      </c>
      <c r="Z113" s="20">
        <v>2</v>
      </c>
      <c r="AA113" s="20">
        <v>2</v>
      </c>
      <c r="AB113" s="20">
        <v>3.1</v>
      </c>
      <c r="AC113" s="20">
        <v>3.1</v>
      </c>
      <c r="AD113" s="20">
        <v>2.9</v>
      </c>
      <c r="AE113" s="19">
        <v>0.4</v>
      </c>
      <c r="AF113" s="19">
        <v>-0.9</v>
      </c>
      <c r="AG113" s="19">
        <v>0</v>
      </c>
      <c r="AH113" s="19">
        <v>-0.1</v>
      </c>
      <c r="AI113" s="15">
        <v>7.2</v>
      </c>
      <c r="AJ113" s="15">
        <v>7.2</v>
      </c>
      <c r="AK113" s="15">
        <v>7.1</v>
      </c>
      <c r="AL113" s="15">
        <v>7</v>
      </c>
      <c r="AM113" s="15">
        <v>6.9</v>
      </c>
      <c r="AN113" s="19">
        <v>0</v>
      </c>
      <c r="AO113" s="19">
        <v>-0.1</v>
      </c>
      <c r="AP113" s="19">
        <v>-0.1</v>
      </c>
      <c r="AQ113" s="19">
        <v>-0.1</v>
      </c>
    </row>
    <row r="114" spans="2:43">
      <c r="B114">
        <f t="shared" si="194"/>
        <v>1992</v>
      </c>
      <c r="C114">
        <f t="shared" si="195"/>
        <v>7</v>
      </c>
      <c r="D114" s="7">
        <v>33787</v>
      </c>
      <c r="E114" s="6">
        <v>33781</v>
      </c>
      <c r="F114" s="4">
        <v>1</v>
      </c>
      <c r="G114" s="4">
        <v>0</v>
      </c>
      <c r="H114" s="10">
        <v>-0.3</v>
      </c>
      <c r="I114">
        <v>-0.224283244534045</v>
      </c>
      <c r="J114" s="12">
        <v>70192</v>
      </c>
      <c r="K114" s="17">
        <v>33786</v>
      </c>
      <c r="L114" s="17">
        <v>33848</v>
      </c>
      <c r="M114" s="30">
        <v>33781</v>
      </c>
      <c r="N114" s="17">
        <v>33756</v>
      </c>
      <c r="O114" s="14">
        <v>-0.125</v>
      </c>
      <c r="P114" s="18">
        <v>3.75</v>
      </c>
      <c r="Q114" s="20">
        <v>3.1</v>
      </c>
      <c r="R114" s="20">
        <v>2.7</v>
      </c>
      <c r="S114" s="20">
        <v>2.5</v>
      </c>
      <c r="T114" s="20">
        <v>2.8</v>
      </c>
      <c r="U114" s="20">
        <v>3.2</v>
      </c>
      <c r="V114" s="19">
        <v>0</v>
      </c>
      <c r="W114" s="19">
        <v>0</v>
      </c>
      <c r="X114" s="19">
        <v>-0.3</v>
      </c>
      <c r="Y114" s="19">
        <v>0.1</v>
      </c>
      <c r="Z114" s="20">
        <v>2.7</v>
      </c>
      <c r="AA114" s="20">
        <v>2</v>
      </c>
      <c r="AB114" s="20">
        <v>2.2999999999999998</v>
      </c>
      <c r="AC114" s="20">
        <v>2.7</v>
      </c>
      <c r="AD114" s="20">
        <v>2.8</v>
      </c>
      <c r="AE114" s="19">
        <v>0.7</v>
      </c>
      <c r="AF114" s="19">
        <v>0</v>
      </c>
      <c r="AG114" s="19">
        <v>-0.8</v>
      </c>
      <c r="AH114" s="19">
        <v>-0.4</v>
      </c>
      <c r="AI114" s="15">
        <v>7.2</v>
      </c>
      <c r="AJ114" s="15">
        <v>7.3</v>
      </c>
      <c r="AK114" s="15">
        <v>7.3</v>
      </c>
      <c r="AL114" s="15">
        <v>7.2</v>
      </c>
      <c r="AM114" s="15">
        <v>7.1</v>
      </c>
      <c r="AN114" s="19">
        <v>0</v>
      </c>
      <c r="AO114" s="19">
        <v>0.1</v>
      </c>
      <c r="AP114" s="19">
        <v>0.2</v>
      </c>
      <c r="AQ114" s="19">
        <v>0.2</v>
      </c>
    </row>
    <row r="115" spans="2:43">
      <c r="B115">
        <f t="shared" si="194"/>
        <v>1992</v>
      </c>
      <c r="C115">
        <f t="shared" si="195"/>
        <v>8</v>
      </c>
      <c r="D115" s="7">
        <v>33835</v>
      </c>
      <c r="E115" s="6">
        <v>33829</v>
      </c>
      <c r="F115" s="4">
        <v>1</v>
      </c>
      <c r="G115" s="4">
        <v>0</v>
      </c>
      <c r="H115" s="10">
        <v>0.01</v>
      </c>
      <c r="I115">
        <v>7.1049972457598906E-2</v>
      </c>
      <c r="J115" s="12">
        <v>81892</v>
      </c>
      <c r="K115" s="17">
        <v>33834</v>
      </c>
      <c r="L115" s="17">
        <v>33848</v>
      </c>
      <c r="M115" s="30">
        <v>33829</v>
      </c>
      <c r="N115" s="17">
        <v>33848</v>
      </c>
      <c r="O115" s="14">
        <v>-0.125</v>
      </c>
      <c r="P115" s="18">
        <v>3.25</v>
      </c>
      <c r="Q115" s="20">
        <v>2.4</v>
      </c>
      <c r="R115" s="20">
        <v>1.6</v>
      </c>
      <c r="S115" s="20">
        <v>2.9</v>
      </c>
      <c r="T115" s="20">
        <v>2.9</v>
      </c>
      <c r="U115" s="20">
        <v>2.2999999999999998</v>
      </c>
      <c r="V115" s="19">
        <v>-0.3</v>
      </c>
      <c r="W115" s="19">
        <v>-0.9</v>
      </c>
      <c r="X115" s="19">
        <v>0.1</v>
      </c>
      <c r="Y115" s="19">
        <v>-0.3</v>
      </c>
      <c r="Z115" s="20">
        <v>1.4</v>
      </c>
      <c r="AA115" s="20">
        <v>1.7</v>
      </c>
      <c r="AB115" s="20">
        <v>2.5</v>
      </c>
      <c r="AC115" s="20">
        <v>2.8</v>
      </c>
      <c r="AD115" s="20">
        <v>3</v>
      </c>
      <c r="AE115" s="19">
        <v>-0.6</v>
      </c>
      <c r="AF115" s="19">
        <v>-0.6</v>
      </c>
      <c r="AG115" s="19">
        <v>-0.2</v>
      </c>
      <c r="AH115" s="19">
        <v>0</v>
      </c>
      <c r="AI115" s="15">
        <v>7.5</v>
      </c>
      <c r="AJ115" s="15">
        <v>7.6</v>
      </c>
      <c r="AK115" s="15">
        <v>7.4</v>
      </c>
      <c r="AL115" s="15">
        <v>7.4</v>
      </c>
      <c r="AM115" s="15">
        <v>7.3</v>
      </c>
      <c r="AN115" s="19">
        <v>0.2</v>
      </c>
      <c r="AO115" s="19">
        <v>0.3</v>
      </c>
      <c r="AP115" s="19">
        <v>0.2</v>
      </c>
      <c r="AQ115" s="19">
        <v>0.3</v>
      </c>
    </row>
    <row r="116" spans="2:43">
      <c r="B116">
        <f t="shared" si="194"/>
        <v>1992</v>
      </c>
      <c r="C116">
        <f t="shared" si="195"/>
        <v>9</v>
      </c>
      <c r="D116" s="7">
        <v>33851</v>
      </c>
      <c r="E116" s="67">
        <f>E115</f>
        <v>33829</v>
      </c>
      <c r="F116" s="4">
        <v>0</v>
      </c>
      <c r="G116" s="4">
        <v>0</v>
      </c>
      <c r="H116" s="10">
        <v>0.01</v>
      </c>
      <c r="I116">
        <v>1.89969725672718E-2</v>
      </c>
      <c r="J116" s="12" t="e">
        <f>NA()</f>
        <v>#N/A</v>
      </c>
      <c r="K116" s="17" t="e">
        <v>#N/A</v>
      </c>
      <c r="L116" s="17" t="e">
        <v>#N/A</v>
      </c>
      <c r="M116" s="30" t="e">
        <v>#N/A</v>
      </c>
      <c r="N116" s="17" t="e">
        <v>#N/A</v>
      </c>
      <c r="O116" s="14" t="e">
        <v>#N/A</v>
      </c>
      <c r="P116" s="18" t="e">
        <v>#N/A</v>
      </c>
      <c r="Q116" s="68">
        <f>R115</f>
        <v>1.6</v>
      </c>
      <c r="R116" s="68">
        <f>S115</f>
        <v>2.9</v>
      </c>
      <c r="S116" s="68">
        <f t="shared" ref="S116" si="355">T115</f>
        <v>2.9</v>
      </c>
      <c r="T116" s="68">
        <f>U115</f>
        <v>2.2999999999999998</v>
      </c>
      <c r="U116" s="70">
        <v>2.2999999999999998</v>
      </c>
      <c r="V116" s="69">
        <v>0</v>
      </c>
      <c r="W116" s="69">
        <v>0</v>
      </c>
      <c r="X116" s="69">
        <v>0</v>
      </c>
      <c r="Y116" s="69">
        <v>0</v>
      </c>
      <c r="Z116" s="68">
        <f>AA115</f>
        <v>1.7</v>
      </c>
      <c r="AA116" s="68">
        <f>AB115</f>
        <v>2.5</v>
      </c>
      <c r="AB116" s="68">
        <f t="shared" ref="AB116" si="356">AC115</f>
        <v>2.8</v>
      </c>
      <c r="AC116" s="68">
        <f>AD115</f>
        <v>3</v>
      </c>
      <c r="AD116" s="70">
        <v>3.2</v>
      </c>
      <c r="AE116" s="69">
        <v>0</v>
      </c>
      <c r="AF116" s="69">
        <v>0</v>
      </c>
      <c r="AG116" s="69">
        <v>0</v>
      </c>
      <c r="AH116" s="69">
        <v>0</v>
      </c>
      <c r="AI116" s="68">
        <f>AJ115</f>
        <v>7.6</v>
      </c>
      <c r="AJ116" s="68">
        <f>AK115</f>
        <v>7.4</v>
      </c>
      <c r="AK116" s="68">
        <f t="shared" ref="AK116" si="357">AL115</f>
        <v>7.4</v>
      </c>
      <c r="AL116" s="68">
        <f>AM115</f>
        <v>7.3</v>
      </c>
      <c r="AM116" s="70">
        <v>7.2</v>
      </c>
      <c r="AN116" s="69">
        <v>0</v>
      </c>
      <c r="AO116" s="69">
        <v>0</v>
      </c>
      <c r="AP116" s="69">
        <v>0</v>
      </c>
      <c r="AQ116" s="69">
        <v>0</v>
      </c>
    </row>
    <row r="117" spans="2:43">
      <c r="B117">
        <f t="shared" si="194"/>
        <v>1992</v>
      </c>
      <c r="C117">
        <f t="shared" si="195"/>
        <v>10</v>
      </c>
      <c r="D117" s="7">
        <v>33884</v>
      </c>
      <c r="E117" s="6">
        <v>33877</v>
      </c>
      <c r="F117" s="4">
        <v>1</v>
      </c>
      <c r="G117" s="4">
        <v>0</v>
      </c>
      <c r="H117" s="10">
        <v>0.01</v>
      </c>
      <c r="I117">
        <v>5.9491140395936198E-2</v>
      </c>
      <c r="J117" s="12">
        <v>100692</v>
      </c>
      <c r="K117" s="17">
        <v>33883</v>
      </c>
      <c r="L117" s="17">
        <v>33939</v>
      </c>
      <c r="M117" s="30">
        <v>33877</v>
      </c>
      <c r="N117" s="17">
        <v>33848</v>
      </c>
      <c r="O117" s="14">
        <v>-0.25</v>
      </c>
      <c r="P117" s="18">
        <v>3</v>
      </c>
      <c r="Q117" s="20">
        <v>2.7</v>
      </c>
      <c r="R117" s="20">
        <v>2.5</v>
      </c>
      <c r="S117" s="20">
        <v>2.1</v>
      </c>
      <c r="T117" s="20">
        <v>2.7</v>
      </c>
      <c r="U117" s="20">
        <v>2.2000000000000002</v>
      </c>
      <c r="V117" s="19">
        <v>0.3</v>
      </c>
      <c r="W117" s="19">
        <v>0.9</v>
      </c>
      <c r="X117" s="19">
        <v>-0.8</v>
      </c>
      <c r="Y117" s="19">
        <v>-0.2</v>
      </c>
      <c r="Z117" s="20">
        <v>1.5</v>
      </c>
      <c r="AA117" s="20">
        <v>1.9</v>
      </c>
      <c r="AB117" s="20">
        <v>1.2</v>
      </c>
      <c r="AC117" s="20">
        <v>2</v>
      </c>
      <c r="AD117" s="20">
        <v>2.5</v>
      </c>
      <c r="AE117" s="19">
        <v>0.1</v>
      </c>
      <c r="AF117" s="19">
        <v>0.2</v>
      </c>
      <c r="AG117" s="19">
        <v>-1.3</v>
      </c>
      <c r="AH117" s="19">
        <v>-0.8</v>
      </c>
      <c r="AI117" s="15">
        <v>7.5</v>
      </c>
      <c r="AJ117" s="15">
        <v>7.6</v>
      </c>
      <c r="AK117" s="15">
        <v>7.8</v>
      </c>
      <c r="AL117" s="15">
        <v>7.8</v>
      </c>
      <c r="AM117" s="15">
        <v>7.8</v>
      </c>
      <c r="AN117" s="19">
        <v>0</v>
      </c>
      <c r="AO117" s="19">
        <v>0</v>
      </c>
      <c r="AP117" s="19">
        <v>0.4</v>
      </c>
      <c r="AQ117" s="19">
        <v>0.4</v>
      </c>
    </row>
    <row r="118" spans="2:43">
      <c r="B118">
        <f t="shared" si="194"/>
        <v>1992</v>
      </c>
      <c r="C118">
        <f t="shared" si="195"/>
        <v>11</v>
      </c>
      <c r="D118" s="7">
        <v>33926</v>
      </c>
      <c r="E118" s="6">
        <v>33920</v>
      </c>
      <c r="F118" s="4">
        <v>1</v>
      </c>
      <c r="G118" s="4">
        <v>0</v>
      </c>
      <c r="H118" s="10">
        <v>0</v>
      </c>
      <c r="I118">
        <v>6.2400996670968503E-2</v>
      </c>
      <c r="J118" s="12">
        <v>111792</v>
      </c>
      <c r="K118" s="17">
        <v>33925</v>
      </c>
      <c r="L118" s="17">
        <v>33939</v>
      </c>
      <c r="M118" s="30">
        <v>33920</v>
      </c>
      <c r="N118" s="17">
        <v>33939</v>
      </c>
      <c r="O118" s="14">
        <v>0</v>
      </c>
      <c r="P118" s="18">
        <v>3</v>
      </c>
      <c r="Q118" s="20">
        <v>1.8</v>
      </c>
      <c r="R118" s="20">
        <v>2.4</v>
      </c>
      <c r="S118" s="20">
        <v>2.8</v>
      </c>
      <c r="T118" s="20">
        <v>2.2000000000000002</v>
      </c>
      <c r="U118" s="20">
        <v>2</v>
      </c>
      <c r="V118" s="19">
        <v>-0.7</v>
      </c>
      <c r="W118" s="19">
        <v>0.3</v>
      </c>
      <c r="X118" s="19">
        <v>0.1</v>
      </c>
      <c r="Y118" s="19">
        <v>0</v>
      </c>
      <c r="Z118" s="20">
        <v>2.7</v>
      </c>
      <c r="AA118" s="20">
        <v>2</v>
      </c>
      <c r="AB118" s="20">
        <v>2</v>
      </c>
      <c r="AC118" s="20">
        <v>2</v>
      </c>
      <c r="AD118" s="20">
        <v>2.5</v>
      </c>
      <c r="AE118" s="19">
        <v>0.8</v>
      </c>
      <c r="AF118" s="19">
        <v>0.8</v>
      </c>
      <c r="AG118" s="19">
        <v>0</v>
      </c>
      <c r="AH118" s="19">
        <v>-0.5</v>
      </c>
      <c r="AI118" s="15">
        <v>7.6</v>
      </c>
      <c r="AJ118" s="15">
        <v>7.5</v>
      </c>
      <c r="AK118" s="15">
        <v>7.6</v>
      </c>
      <c r="AL118" s="15">
        <v>7.6</v>
      </c>
      <c r="AM118" s="15">
        <v>7.6</v>
      </c>
      <c r="AN118" s="19">
        <v>0</v>
      </c>
      <c r="AO118" s="19">
        <v>-0.3</v>
      </c>
      <c r="AP118" s="19">
        <v>-0.2</v>
      </c>
      <c r="AQ118" s="19">
        <v>-0.2</v>
      </c>
    </row>
    <row r="119" spans="2:43">
      <c r="B119">
        <f t="shared" si="194"/>
        <v>1992</v>
      </c>
      <c r="C119">
        <f t="shared" si="195"/>
        <v>12</v>
      </c>
      <c r="D119" s="7">
        <v>33961</v>
      </c>
      <c r="E119" s="6">
        <v>33954</v>
      </c>
      <c r="F119" s="4">
        <v>1</v>
      </c>
      <c r="G119" s="4">
        <v>0</v>
      </c>
      <c r="H119" s="10">
        <v>-0.01</v>
      </c>
      <c r="I119">
        <v>-1.0052354520459999E-2</v>
      </c>
      <c r="J119" s="12">
        <v>122292</v>
      </c>
      <c r="K119" s="17">
        <v>33960</v>
      </c>
      <c r="L119" s="17">
        <v>33939</v>
      </c>
      <c r="M119" s="30">
        <v>33954</v>
      </c>
      <c r="N119" s="17">
        <v>33939</v>
      </c>
      <c r="O119" s="14">
        <v>0</v>
      </c>
      <c r="P119" s="18">
        <v>3</v>
      </c>
      <c r="Q119" s="20">
        <v>1.7</v>
      </c>
      <c r="R119" s="20">
        <v>2.8</v>
      </c>
      <c r="S119" s="20">
        <v>3.2</v>
      </c>
      <c r="T119" s="20">
        <v>2.2000000000000002</v>
      </c>
      <c r="U119" s="20">
        <v>2.4</v>
      </c>
      <c r="V119" s="19">
        <v>-0.1</v>
      </c>
      <c r="W119" s="19">
        <v>0.4</v>
      </c>
      <c r="X119" s="19">
        <v>0.4</v>
      </c>
      <c r="Y119" s="19">
        <v>0</v>
      </c>
      <c r="Z119" s="20">
        <v>3.9</v>
      </c>
      <c r="AA119" s="20">
        <v>3.3</v>
      </c>
      <c r="AB119" s="20">
        <v>2.7</v>
      </c>
      <c r="AC119" s="20">
        <v>2.7</v>
      </c>
      <c r="AD119" s="20">
        <v>2.7</v>
      </c>
      <c r="AE119" s="19">
        <v>1.2</v>
      </c>
      <c r="AF119" s="19">
        <v>1.3</v>
      </c>
      <c r="AG119" s="19">
        <v>0.7</v>
      </c>
      <c r="AH119" s="19">
        <v>0.7</v>
      </c>
      <c r="AI119" s="15">
        <v>7.6</v>
      </c>
      <c r="AJ119" s="15">
        <v>7.3</v>
      </c>
      <c r="AK119" s="15">
        <v>7.3</v>
      </c>
      <c r="AL119" s="15">
        <v>7.2</v>
      </c>
      <c r="AM119" s="15">
        <v>7.1</v>
      </c>
      <c r="AN119" s="19">
        <v>0</v>
      </c>
      <c r="AO119" s="19">
        <v>-0.2</v>
      </c>
      <c r="AP119" s="19">
        <v>-0.3</v>
      </c>
      <c r="AQ119" s="19">
        <v>-0.4</v>
      </c>
    </row>
    <row r="120" spans="2:43">
      <c r="B120">
        <f t="shared" si="194"/>
        <v>1993</v>
      </c>
      <c r="C120">
        <f t="shared" si="195"/>
        <v>2</v>
      </c>
      <c r="D120" s="7">
        <v>34004</v>
      </c>
      <c r="E120" s="6">
        <v>33998</v>
      </c>
      <c r="F120" s="4">
        <v>1</v>
      </c>
      <c r="G120" s="4">
        <v>0</v>
      </c>
      <c r="H120" s="10">
        <v>-0.02</v>
      </c>
      <c r="I120">
        <v>2.4784225016381001E-2</v>
      </c>
      <c r="J120" s="12">
        <v>20393</v>
      </c>
      <c r="K120" s="17">
        <v>34003</v>
      </c>
      <c r="L120" s="17">
        <v>34029</v>
      </c>
      <c r="M120" s="30">
        <v>33998</v>
      </c>
      <c r="N120" s="17">
        <v>34029</v>
      </c>
      <c r="O120" s="14">
        <v>0</v>
      </c>
      <c r="P120" s="18">
        <v>3</v>
      </c>
      <c r="Q120" s="20">
        <v>1.8</v>
      </c>
      <c r="R120" s="20">
        <v>3.4</v>
      </c>
      <c r="S120" s="20">
        <v>2.2000000000000002</v>
      </c>
      <c r="T120" s="20">
        <v>2.2000000000000002</v>
      </c>
      <c r="U120" s="20">
        <v>2.1</v>
      </c>
      <c r="V120" s="19">
        <v>-1</v>
      </c>
      <c r="W120" s="19">
        <v>0.2</v>
      </c>
      <c r="X120" s="19">
        <v>0</v>
      </c>
      <c r="Y120" s="19">
        <v>-0.2</v>
      </c>
      <c r="Z120" s="20">
        <v>3.8</v>
      </c>
      <c r="AA120" s="20">
        <v>2.7</v>
      </c>
      <c r="AB120" s="20">
        <v>2.9</v>
      </c>
      <c r="AC120" s="20">
        <v>2.9</v>
      </c>
      <c r="AD120" s="20">
        <v>2.9</v>
      </c>
      <c r="AE120" s="19">
        <v>0.5</v>
      </c>
      <c r="AF120" s="19">
        <v>0</v>
      </c>
      <c r="AG120" s="19">
        <v>0.2</v>
      </c>
      <c r="AH120" s="19">
        <v>0.2</v>
      </c>
      <c r="AI120" s="15">
        <v>7.3</v>
      </c>
      <c r="AJ120" s="15">
        <v>7.2</v>
      </c>
      <c r="AK120" s="15">
        <v>7.2</v>
      </c>
      <c r="AL120" s="15">
        <v>7.1</v>
      </c>
      <c r="AM120" s="15">
        <v>7</v>
      </c>
      <c r="AN120" s="19">
        <v>0</v>
      </c>
      <c r="AO120" s="19">
        <v>-0.1</v>
      </c>
      <c r="AP120" s="19">
        <v>0</v>
      </c>
      <c r="AQ120" s="19">
        <v>0</v>
      </c>
    </row>
    <row r="121" spans="2:43">
      <c r="B121">
        <f t="shared" si="194"/>
        <v>1993</v>
      </c>
      <c r="C121">
        <f t="shared" si="195"/>
        <v>3</v>
      </c>
      <c r="D121" s="7">
        <v>34052</v>
      </c>
      <c r="E121" s="6">
        <v>34045</v>
      </c>
      <c r="F121" s="4">
        <v>1</v>
      </c>
      <c r="G121" s="4">
        <v>0</v>
      </c>
      <c r="H121" s="10">
        <v>0</v>
      </c>
      <c r="I121">
        <v>3.8721505150027799E-2</v>
      </c>
      <c r="J121" s="12">
        <v>32393</v>
      </c>
      <c r="K121" s="17">
        <v>34051</v>
      </c>
      <c r="L121" s="17">
        <v>34029</v>
      </c>
      <c r="M121" s="30">
        <v>34045</v>
      </c>
      <c r="N121" s="17">
        <v>34029</v>
      </c>
      <c r="O121" s="14">
        <v>0</v>
      </c>
      <c r="P121" s="18">
        <v>3</v>
      </c>
      <c r="Q121" s="20">
        <v>2.2000000000000002</v>
      </c>
      <c r="R121" s="20">
        <v>3.5</v>
      </c>
      <c r="S121" s="20">
        <v>2.6</v>
      </c>
      <c r="T121" s="20">
        <v>2.2000000000000002</v>
      </c>
      <c r="U121" s="20">
        <v>2.2000000000000002</v>
      </c>
      <c r="V121" s="19">
        <v>0.4</v>
      </c>
      <c r="W121" s="19">
        <v>0.1</v>
      </c>
      <c r="X121" s="19">
        <v>0.4</v>
      </c>
      <c r="Y121" s="19">
        <v>0</v>
      </c>
      <c r="Z121" s="20">
        <v>4.8</v>
      </c>
      <c r="AA121" s="20">
        <v>3</v>
      </c>
      <c r="AB121" s="20">
        <v>2.7</v>
      </c>
      <c r="AC121" s="20">
        <v>2.8</v>
      </c>
      <c r="AD121" s="20">
        <v>2.9</v>
      </c>
      <c r="AE121" s="19">
        <v>1</v>
      </c>
      <c r="AF121" s="19">
        <v>0.3</v>
      </c>
      <c r="AG121" s="19">
        <v>-0.2</v>
      </c>
      <c r="AH121" s="19">
        <v>-0.1</v>
      </c>
      <c r="AI121" s="15">
        <v>7.3</v>
      </c>
      <c r="AJ121" s="15">
        <v>7</v>
      </c>
      <c r="AK121" s="15">
        <v>7</v>
      </c>
      <c r="AL121" s="15">
        <v>6.9</v>
      </c>
      <c r="AM121" s="15">
        <v>6.9</v>
      </c>
      <c r="AN121" s="19">
        <v>0</v>
      </c>
      <c r="AO121" s="19">
        <v>-0.2</v>
      </c>
      <c r="AP121" s="19">
        <v>-0.2</v>
      </c>
      <c r="AQ121" s="19">
        <v>-0.2</v>
      </c>
    </row>
    <row r="122" spans="2:43">
      <c r="B122">
        <f t="shared" si="194"/>
        <v>1993</v>
      </c>
      <c r="C122">
        <f t="shared" si="195"/>
        <v>5</v>
      </c>
      <c r="D122" s="7">
        <v>34108</v>
      </c>
      <c r="E122" s="6">
        <v>34103</v>
      </c>
      <c r="F122" s="4">
        <v>1</v>
      </c>
      <c r="G122" s="4">
        <v>0</v>
      </c>
      <c r="H122" s="10">
        <v>-0.02</v>
      </c>
      <c r="I122">
        <v>-1.25219337197461E-2</v>
      </c>
      <c r="J122" s="12">
        <v>51893</v>
      </c>
      <c r="K122" s="17">
        <v>34107</v>
      </c>
      <c r="L122" s="17">
        <v>34121</v>
      </c>
      <c r="M122" s="30">
        <v>34103</v>
      </c>
      <c r="N122" s="17">
        <v>34121</v>
      </c>
      <c r="O122" s="14">
        <v>0.125</v>
      </c>
      <c r="P122" s="18">
        <v>3</v>
      </c>
      <c r="Q122" s="20">
        <v>3.3</v>
      </c>
      <c r="R122" s="20">
        <v>2.2000000000000002</v>
      </c>
      <c r="S122" s="20">
        <v>2.2000000000000002</v>
      </c>
      <c r="T122" s="20">
        <v>2.4</v>
      </c>
      <c r="U122" s="20">
        <v>2.4</v>
      </c>
      <c r="V122" s="19">
        <v>-0.2</v>
      </c>
      <c r="W122" s="19">
        <v>-0.4</v>
      </c>
      <c r="X122" s="19">
        <v>0</v>
      </c>
      <c r="Y122" s="19">
        <v>0.2</v>
      </c>
      <c r="Z122" s="20">
        <v>1.8</v>
      </c>
      <c r="AA122" s="20">
        <v>2</v>
      </c>
      <c r="AB122" s="20">
        <v>2.5</v>
      </c>
      <c r="AC122" s="20">
        <v>2.6</v>
      </c>
      <c r="AD122" s="20">
        <v>2.7</v>
      </c>
      <c r="AE122" s="19">
        <v>-1.2</v>
      </c>
      <c r="AF122" s="19">
        <v>-0.7</v>
      </c>
      <c r="AG122" s="19">
        <v>-0.3</v>
      </c>
      <c r="AH122" s="19">
        <v>-0.3</v>
      </c>
      <c r="AI122" s="15">
        <v>7</v>
      </c>
      <c r="AJ122" s="15">
        <v>7</v>
      </c>
      <c r="AK122" s="15">
        <v>7</v>
      </c>
      <c r="AL122" s="15">
        <v>7</v>
      </c>
      <c r="AM122" s="15">
        <v>6.9</v>
      </c>
      <c r="AN122" s="19">
        <v>0</v>
      </c>
      <c r="AO122" s="19">
        <v>0</v>
      </c>
      <c r="AP122" s="19">
        <v>0.1</v>
      </c>
      <c r="AQ122" s="19">
        <v>0.1</v>
      </c>
    </row>
    <row r="123" spans="2:43">
      <c r="B123">
        <f t="shared" si="194"/>
        <v>1993</v>
      </c>
      <c r="C123">
        <f t="shared" si="195"/>
        <v>7</v>
      </c>
      <c r="D123" s="7">
        <v>34158</v>
      </c>
      <c r="E123" s="6">
        <v>34150</v>
      </c>
      <c r="F123" s="4">
        <v>1</v>
      </c>
      <c r="G123" s="4">
        <v>0</v>
      </c>
      <c r="H123" s="10">
        <v>0</v>
      </c>
      <c r="I123">
        <v>-8.8837527630785899E-3</v>
      </c>
      <c r="J123" s="12">
        <v>70793</v>
      </c>
      <c r="K123" s="17">
        <v>34157</v>
      </c>
      <c r="L123" s="17">
        <v>34213</v>
      </c>
      <c r="M123" s="30">
        <v>34150</v>
      </c>
      <c r="N123" s="17">
        <v>34121</v>
      </c>
      <c r="O123" s="14">
        <v>0</v>
      </c>
      <c r="P123" s="18">
        <v>3</v>
      </c>
      <c r="Q123" s="20">
        <v>3.5</v>
      </c>
      <c r="R123" s="20">
        <v>2.6</v>
      </c>
      <c r="S123" s="20">
        <v>2.2000000000000002</v>
      </c>
      <c r="T123" s="20">
        <v>2.9</v>
      </c>
      <c r="U123" s="20">
        <v>2.6</v>
      </c>
      <c r="V123" s="19">
        <v>0.2</v>
      </c>
      <c r="W123" s="19">
        <v>0.4</v>
      </c>
      <c r="X123" s="19">
        <v>0</v>
      </c>
      <c r="Y123" s="19">
        <v>0.5</v>
      </c>
      <c r="Z123" s="20">
        <v>0.7</v>
      </c>
      <c r="AA123" s="20">
        <v>2.5</v>
      </c>
      <c r="AB123" s="20">
        <v>2.2000000000000002</v>
      </c>
      <c r="AC123" s="20">
        <v>2.5</v>
      </c>
      <c r="AD123" s="20">
        <v>2.5</v>
      </c>
      <c r="AE123" s="19">
        <v>-1.1000000000000001</v>
      </c>
      <c r="AF123" s="19">
        <v>0.5</v>
      </c>
      <c r="AG123" s="19">
        <v>-0.3</v>
      </c>
      <c r="AH123" s="19">
        <v>-0.1</v>
      </c>
      <c r="AI123" s="15">
        <v>7</v>
      </c>
      <c r="AJ123" s="15">
        <v>7</v>
      </c>
      <c r="AK123" s="15">
        <v>7</v>
      </c>
      <c r="AL123" s="15">
        <v>6.9</v>
      </c>
      <c r="AM123" s="15">
        <v>6.9</v>
      </c>
      <c r="AN123" s="19">
        <v>0</v>
      </c>
      <c r="AO123" s="19">
        <v>0</v>
      </c>
      <c r="AP123" s="19">
        <v>0</v>
      </c>
      <c r="AQ123" s="19">
        <v>-0.1</v>
      </c>
    </row>
    <row r="124" spans="2:43">
      <c r="B124">
        <f t="shared" si="194"/>
        <v>1993</v>
      </c>
      <c r="C124">
        <f t="shared" si="195"/>
        <v>8</v>
      </c>
      <c r="D124" s="7">
        <v>34199</v>
      </c>
      <c r="E124" s="6">
        <v>34192</v>
      </c>
      <c r="F124" s="4">
        <v>1</v>
      </c>
      <c r="G124" s="4">
        <v>0</v>
      </c>
      <c r="H124" s="10">
        <v>0.01</v>
      </c>
      <c r="I124">
        <v>1.4653113502570101E-2</v>
      </c>
      <c r="J124" s="12">
        <v>81793</v>
      </c>
      <c r="K124" s="17">
        <v>34198</v>
      </c>
      <c r="L124" s="17">
        <v>34213</v>
      </c>
      <c r="M124" s="30">
        <v>34192</v>
      </c>
      <c r="N124" s="17">
        <v>34213</v>
      </c>
      <c r="O124" s="14">
        <v>0</v>
      </c>
      <c r="P124" s="18">
        <v>3</v>
      </c>
      <c r="Q124" s="20">
        <v>2.4</v>
      </c>
      <c r="R124" s="20">
        <v>2.5</v>
      </c>
      <c r="S124" s="20">
        <v>3</v>
      </c>
      <c r="T124" s="20">
        <v>2.5</v>
      </c>
      <c r="U124" s="20">
        <v>2.6</v>
      </c>
      <c r="V124" s="19">
        <v>-0.2</v>
      </c>
      <c r="W124" s="19">
        <v>0.3</v>
      </c>
      <c r="X124" s="19">
        <v>0.1</v>
      </c>
      <c r="Y124" s="19">
        <v>-0.1</v>
      </c>
      <c r="Z124" s="20">
        <v>1.6</v>
      </c>
      <c r="AA124" s="20">
        <v>2.2999999999999998</v>
      </c>
      <c r="AB124" s="20">
        <v>2.4</v>
      </c>
      <c r="AC124" s="20">
        <v>2.8</v>
      </c>
      <c r="AD124" s="20">
        <v>2.2999999999999998</v>
      </c>
      <c r="AE124" s="19">
        <v>-0.9</v>
      </c>
      <c r="AF124" s="19">
        <v>0.1</v>
      </c>
      <c r="AG124" s="19">
        <v>-0.1</v>
      </c>
      <c r="AH124" s="19">
        <v>0.3</v>
      </c>
      <c r="AI124" s="15">
        <v>7</v>
      </c>
      <c r="AJ124" s="15">
        <v>6.9</v>
      </c>
      <c r="AK124" s="15">
        <v>6.9</v>
      </c>
      <c r="AL124" s="15">
        <v>6.9</v>
      </c>
      <c r="AM124" s="15">
        <v>6.8</v>
      </c>
      <c r="AN124" s="19">
        <v>0</v>
      </c>
      <c r="AO124" s="19">
        <v>-0.1</v>
      </c>
      <c r="AP124" s="19">
        <v>0</v>
      </c>
      <c r="AQ124" s="19">
        <v>0</v>
      </c>
    </row>
    <row r="125" spans="2:43">
      <c r="B125">
        <f t="shared" si="194"/>
        <v>1993</v>
      </c>
      <c r="C125">
        <f t="shared" si="195"/>
        <v>9</v>
      </c>
      <c r="D125" s="7">
        <v>34234</v>
      </c>
      <c r="E125" s="6">
        <v>34227</v>
      </c>
      <c r="F125" s="4">
        <v>1</v>
      </c>
      <c r="G125" s="4">
        <v>0</v>
      </c>
      <c r="H125" s="10">
        <v>0.01</v>
      </c>
      <c r="I125">
        <v>1.2477112258720099E-2</v>
      </c>
      <c r="J125" s="12">
        <v>92193</v>
      </c>
      <c r="K125" s="17">
        <v>34233</v>
      </c>
      <c r="L125" s="17">
        <v>34213</v>
      </c>
      <c r="M125" s="30">
        <v>34227</v>
      </c>
      <c r="N125" s="17">
        <v>34213</v>
      </c>
      <c r="O125" s="14">
        <v>0</v>
      </c>
      <c r="P125" s="18">
        <v>3</v>
      </c>
      <c r="Q125" s="20">
        <v>2.2999999999999998</v>
      </c>
      <c r="R125" s="20">
        <v>2.2999999999999998</v>
      </c>
      <c r="S125" s="20">
        <v>2.2999999999999998</v>
      </c>
      <c r="T125" s="20">
        <v>2.2999999999999998</v>
      </c>
      <c r="U125" s="20">
        <v>2.2999999999999998</v>
      </c>
      <c r="V125" s="19">
        <v>-0.1</v>
      </c>
      <c r="W125" s="19">
        <v>-0.2</v>
      </c>
      <c r="X125" s="19">
        <v>-0.7</v>
      </c>
      <c r="Y125" s="19">
        <v>-0.2</v>
      </c>
      <c r="Z125" s="20">
        <v>1.8</v>
      </c>
      <c r="AA125" s="20">
        <v>1.2</v>
      </c>
      <c r="AB125" s="20">
        <v>3.4</v>
      </c>
      <c r="AC125" s="20">
        <v>3</v>
      </c>
      <c r="AD125" s="20">
        <v>2.2999999999999998</v>
      </c>
      <c r="AE125" s="19">
        <v>0.2</v>
      </c>
      <c r="AF125" s="19">
        <v>-1.1000000000000001</v>
      </c>
      <c r="AG125" s="19">
        <v>1</v>
      </c>
      <c r="AH125" s="19">
        <v>0.2</v>
      </c>
      <c r="AI125" s="15">
        <v>7</v>
      </c>
      <c r="AJ125" s="15">
        <v>6.8</v>
      </c>
      <c r="AK125" s="15">
        <v>6.7</v>
      </c>
      <c r="AL125" s="15">
        <v>6.7</v>
      </c>
      <c r="AM125" s="15">
        <v>6.7</v>
      </c>
      <c r="AN125" s="19">
        <v>0</v>
      </c>
      <c r="AO125" s="19">
        <v>-0.1</v>
      </c>
      <c r="AP125" s="19">
        <v>-0.2</v>
      </c>
      <c r="AQ125" s="19">
        <v>-0.2</v>
      </c>
    </row>
    <row r="126" spans="2:43">
      <c r="B126">
        <f t="shared" si="194"/>
        <v>1993</v>
      </c>
      <c r="C126">
        <f t="shared" si="195"/>
        <v>11</v>
      </c>
      <c r="D126" s="7">
        <v>34290</v>
      </c>
      <c r="E126" s="6">
        <v>34283</v>
      </c>
      <c r="F126" s="4">
        <v>1</v>
      </c>
      <c r="G126" s="4">
        <v>0</v>
      </c>
      <c r="H126" s="10">
        <v>0</v>
      </c>
      <c r="I126">
        <v>3.3083567709683401E-3</v>
      </c>
      <c r="J126" s="12">
        <v>111693</v>
      </c>
      <c r="K126" s="17">
        <v>34289</v>
      </c>
      <c r="L126" s="17">
        <v>34304</v>
      </c>
      <c r="M126" s="30">
        <v>34283</v>
      </c>
      <c r="N126" s="17">
        <v>34304</v>
      </c>
      <c r="O126" s="14">
        <v>0</v>
      </c>
      <c r="P126" s="18">
        <v>3</v>
      </c>
      <c r="Q126" s="20">
        <v>1.5</v>
      </c>
      <c r="R126" s="20">
        <v>2.5</v>
      </c>
      <c r="S126" s="20">
        <v>2.6</v>
      </c>
      <c r="T126" s="20">
        <v>2.5</v>
      </c>
      <c r="U126" s="20">
        <v>2.1</v>
      </c>
      <c r="V126" s="19">
        <v>-0.8</v>
      </c>
      <c r="W126" s="19">
        <v>0.2</v>
      </c>
      <c r="X126" s="19">
        <v>0.3</v>
      </c>
      <c r="Y126" s="19">
        <v>0.2</v>
      </c>
      <c r="Z126" s="20">
        <v>2.8</v>
      </c>
      <c r="AA126" s="20">
        <v>4</v>
      </c>
      <c r="AB126" s="20">
        <v>2.7</v>
      </c>
      <c r="AC126" s="20">
        <v>2.2999999999999998</v>
      </c>
      <c r="AD126" s="20">
        <v>2.4</v>
      </c>
      <c r="AE126" s="19">
        <v>1.6</v>
      </c>
      <c r="AF126" s="19">
        <v>0.6</v>
      </c>
      <c r="AG126" s="19">
        <v>-0.3</v>
      </c>
      <c r="AH126" s="19">
        <v>0</v>
      </c>
      <c r="AI126" s="15">
        <v>6.7</v>
      </c>
      <c r="AJ126" s="15">
        <v>6.8</v>
      </c>
      <c r="AK126" s="15">
        <v>6.7</v>
      </c>
      <c r="AL126" s="15">
        <v>6.7</v>
      </c>
      <c r="AM126" s="15">
        <v>6.7</v>
      </c>
      <c r="AN126" s="19">
        <v>-0.1</v>
      </c>
      <c r="AO126" s="19">
        <v>0.1</v>
      </c>
      <c r="AP126" s="19">
        <v>0</v>
      </c>
      <c r="AQ126" s="19">
        <v>0</v>
      </c>
    </row>
    <row r="127" spans="2:43">
      <c r="B127">
        <f t="shared" si="194"/>
        <v>1993</v>
      </c>
      <c r="C127">
        <f t="shared" si="195"/>
        <v>12</v>
      </c>
      <c r="D127" s="7">
        <v>34325</v>
      </c>
      <c r="E127" s="6">
        <v>34318</v>
      </c>
      <c r="F127" s="4">
        <v>1</v>
      </c>
      <c r="G127" s="4">
        <v>0</v>
      </c>
      <c r="H127" s="10">
        <v>-0.01</v>
      </c>
      <c r="I127">
        <v>-3.1482187423561098E-2</v>
      </c>
      <c r="J127" s="12">
        <v>122193</v>
      </c>
      <c r="K127" s="17">
        <v>34324</v>
      </c>
      <c r="L127" s="17">
        <v>34304</v>
      </c>
      <c r="M127" s="30">
        <v>34318</v>
      </c>
      <c r="N127" s="17">
        <v>34304</v>
      </c>
      <c r="O127" s="14">
        <v>0</v>
      </c>
      <c r="P127" s="18">
        <v>3</v>
      </c>
      <c r="Q127" s="20">
        <v>1.6</v>
      </c>
      <c r="R127" s="20">
        <v>2.2999999999999998</v>
      </c>
      <c r="S127" s="20">
        <v>2.7</v>
      </c>
      <c r="T127" s="20">
        <v>2.6</v>
      </c>
      <c r="U127" s="20">
        <v>2.4</v>
      </c>
      <c r="V127" s="19">
        <v>0.1</v>
      </c>
      <c r="W127" s="19">
        <v>-0.2</v>
      </c>
      <c r="X127" s="19">
        <v>0.1</v>
      </c>
      <c r="Y127" s="19">
        <v>0.1</v>
      </c>
      <c r="Z127" s="20">
        <v>2.7</v>
      </c>
      <c r="AA127" s="20">
        <v>5</v>
      </c>
      <c r="AB127" s="20">
        <v>3.6</v>
      </c>
      <c r="AC127" s="20">
        <v>2</v>
      </c>
      <c r="AD127" s="20">
        <v>2.5</v>
      </c>
      <c r="AE127" s="19">
        <v>-0.1</v>
      </c>
      <c r="AF127" s="19">
        <v>1</v>
      </c>
      <c r="AG127" s="19">
        <v>0.9</v>
      </c>
      <c r="AH127" s="19">
        <v>-0.3</v>
      </c>
      <c r="AI127" s="15">
        <v>6.7</v>
      </c>
      <c r="AJ127" s="15">
        <v>6.6</v>
      </c>
      <c r="AK127" s="15">
        <v>6.5</v>
      </c>
      <c r="AL127" s="15">
        <v>6.5</v>
      </c>
      <c r="AM127" s="15">
        <v>6.4</v>
      </c>
      <c r="AN127" s="19">
        <v>0</v>
      </c>
      <c r="AO127" s="19">
        <v>-0.2</v>
      </c>
      <c r="AP127" s="19">
        <v>-0.2</v>
      </c>
      <c r="AQ127" s="19">
        <v>-0.2</v>
      </c>
    </row>
    <row r="128" spans="2:43">
      <c r="B128">
        <f t="shared" si="194"/>
        <v>1994</v>
      </c>
      <c r="C128">
        <f t="shared" si="195"/>
        <v>2</v>
      </c>
      <c r="D128" s="8">
        <v>34369</v>
      </c>
      <c r="E128" s="8">
        <v>34365</v>
      </c>
      <c r="F128" s="9">
        <v>1</v>
      </c>
      <c r="G128" s="9">
        <v>0</v>
      </c>
      <c r="H128" s="11">
        <v>0</v>
      </c>
      <c r="I128" s="9">
        <v>-2.2466087972447701E-2</v>
      </c>
      <c r="J128" s="9">
        <v>20494</v>
      </c>
      <c r="K128" s="8">
        <v>34369</v>
      </c>
      <c r="L128" s="8">
        <v>34394</v>
      </c>
      <c r="M128" s="8">
        <v>34365</v>
      </c>
      <c r="N128" s="8">
        <v>34394</v>
      </c>
      <c r="O128" s="9">
        <v>0.25</v>
      </c>
      <c r="P128" s="9">
        <v>3</v>
      </c>
      <c r="Q128" s="9">
        <v>1.4</v>
      </c>
      <c r="R128" s="9">
        <v>3</v>
      </c>
      <c r="S128" s="9">
        <v>2.2999999999999998</v>
      </c>
      <c r="T128" s="9">
        <v>2.2000000000000002</v>
      </c>
      <c r="U128" s="9">
        <v>2.1</v>
      </c>
      <c r="V128" s="9">
        <v>-0.9</v>
      </c>
      <c r="W128" s="9">
        <v>0.3</v>
      </c>
      <c r="X128" s="9">
        <v>-0.3</v>
      </c>
      <c r="Y128" s="9">
        <v>-0.2</v>
      </c>
      <c r="Z128" s="9">
        <v>5.9</v>
      </c>
      <c r="AA128" s="9">
        <v>4</v>
      </c>
      <c r="AB128" s="9">
        <v>3</v>
      </c>
      <c r="AC128" s="9">
        <v>2.5</v>
      </c>
      <c r="AD128" s="9">
        <v>2.4</v>
      </c>
      <c r="AE128" s="9">
        <v>0.9</v>
      </c>
      <c r="AF128" s="9">
        <v>0.4</v>
      </c>
      <c r="AG128" s="9">
        <v>1</v>
      </c>
      <c r="AH128" s="9">
        <v>0</v>
      </c>
      <c r="AI128" s="9">
        <v>6.5</v>
      </c>
      <c r="AJ128" s="9">
        <v>7</v>
      </c>
      <c r="AK128" s="9">
        <v>6.9</v>
      </c>
      <c r="AL128" s="9">
        <v>6.9</v>
      </c>
      <c r="AM128" s="9">
        <v>6.8</v>
      </c>
      <c r="AN128" s="9">
        <v>-0.1</v>
      </c>
      <c r="AO128" s="9">
        <v>0.5</v>
      </c>
      <c r="AP128" s="9">
        <v>0.4</v>
      </c>
      <c r="AQ128" s="9">
        <v>0.5</v>
      </c>
    </row>
    <row r="129" spans="2:43">
      <c r="B129">
        <f t="shared" si="194"/>
        <v>1994</v>
      </c>
      <c r="C129">
        <f t="shared" si="195"/>
        <v>3</v>
      </c>
      <c r="D129" s="7">
        <v>34415</v>
      </c>
      <c r="E129" s="6">
        <v>34409</v>
      </c>
      <c r="F129" s="4">
        <v>1</v>
      </c>
      <c r="G129" s="4">
        <v>0</v>
      </c>
      <c r="H129" s="10">
        <v>0</v>
      </c>
      <c r="I129">
        <v>1.64555238308812E-2</v>
      </c>
      <c r="J129" s="12">
        <v>32294</v>
      </c>
      <c r="K129" s="17">
        <v>34415</v>
      </c>
      <c r="L129" s="17">
        <v>34394</v>
      </c>
      <c r="M129" s="30">
        <v>34409</v>
      </c>
      <c r="N129" s="17">
        <v>34394</v>
      </c>
      <c r="O129" s="14">
        <v>0.25</v>
      </c>
      <c r="P129" s="18">
        <v>3.25</v>
      </c>
      <c r="Q129" s="20">
        <v>1.2</v>
      </c>
      <c r="R129" s="20">
        <v>2.5</v>
      </c>
      <c r="S129" s="20">
        <v>2.5</v>
      </c>
      <c r="T129" s="20">
        <v>2.2999999999999998</v>
      </c>
      <c r="U129" s="20">
        <v>2.2000000000000002</v>
      </c>
      <c r="V129" s="19">
        <v>-0.2</v>
      </c>
      <c r="W129" s="19">
        <v>-0.5</v>
      </c>
      <c r="X129" s="19">
        <v>0.2</v>
      </c>
      <c r="Y129" s="19">
        <v>0.1</v>
      </c>
      <c r="Z129" s="20">
        <v>7.5</v>
      </c>
      <c r="AA129" s="20">
        <v>3.2</v>
      </c>
      <c r="AB129" s="20">
        <v>2.5</v>
      </c>
      <c r="AC129" s="20">
        <v>2.7</v>
      </c>
      <c r="AD129" s="20">
        <v>2.4</v>
      </c>
      <c r="AE129" s="19">
        <v>1.6</v>
      </c>
      <c r="AF129" s="19">
        <v>-0.8</v>
      </c>
      <c r="AG129" s="19">
        <v>-0.5</v>
      </c>
      <c r="AH129" s="19">
        <v>0.2</v>
      </c>
      <c r="AI129" s="15">
        <v>6.5</v>
      </c>
      <c r="AJ129" s="15">
        <v>6.5</v>
      </c>
      <c r="AK129" s="15">
        <v>6.6</v>
      </c>
      <c r="AL129" s="15">
        <v>6.8</v>
      </c>
      <c r="AM129" s="15">
        <v>6.6</v>
      </c>
      <c r="AN129" s="19">
        <v>0</v>
      </c>
      <c r="AO129" s="19">
        <v>-0.5</v>
      </c>
      <c r="AP129" s="19">
        <v>-0.3</v>
      </c>
      <c r="AQ129" s="19">
        <v>-0.1</v>
      </c>
    </row>
    <row r="130" spans="2:43">
      <c r="B130">
        <f t="shared" si="194"/>
        <v>1994</v>
      </c>
      <c r="C130">
        <f t="shared" si="195"/>
        <v>4</v>
      </c>
      <c r="D130" s="7">
        <v>34442</v>
      </c>
      <c r="E130" s="67">
        <f>E129</f>
        <v>34409</v>
      </c>
      <c r="F130" s="4">
        <v>1</v>
      </c>
      <c r="G130" s="4">
        <v>1</v>
      </c>
      <c r="H130" s="10">
        <v>0.12</v>
      </c>
      <c r="I130">
        <v>0.13613980248971699</v>
      </c>
      <c r="J130" s="12" t="e">
        <f>NA()</f>
        <v>#N/A</v>
      </c>
      <c r="K130" s="17" t="e">
        <v>#N/A</v>
      </c>
      <c r="L130" s="17" t="e">
        <v>#N/A</v>
      </c>
      <c r="M130" s="30" t="e">
        <v>#N/A</v>
      </c>
      <c r="N130" s="17" t="e">
        <v>#N/A</v>
      </c>
      <c r="O130" s="14" t="e">
        <v>#N/A</v>
      </c>
      <c r="P130" s="18" t="e">
        <v>#N/A</v>
      </c>
      <c r="Q130" s="68">
        <f>R129</f>
        <v>2.5</v>
      </c>
      <c r="R130" s="68">
        <f>S129</f>
        <v>2.5</v>
      </c>
      <c r="S130" s="68">
        <f t="shared" ref="S130" si="358">T129</f>
        <v>2.2999999999999998</v>
      </c>
      <c r="T130" s="68">
        <f>U129</f>
        <v>2.2000000000000002</v>
      </c>
      <c r="U130" s="70">
        <v>2.8</v>
      </c>
      <c r="V130" s="69">
        <v>0</v>
      </c>
      <c r="W130" s="69">
        <v>0</v>
      </c>
      <c r="X130" s="69">
        <v>0</v>
      </c>
      <c r="Y130" s="69">
        <v>0</v>
      </c>
      <c r="Z130" s="68">
        <f>AA129</f>
        <v>3.2</v>
      </c>
      <c r="AA130" s="68">
        <f>AB129</f>
        <v>2.5</v>
      </c>
      <c r="AB130" s="68">
        <f t="shared" ref="AB130" si="359">AC129</f>
        <v>2.7</v>
      </c>
      <c r="AC130" s="68">
        <f>AD129</f>
        <v>2.4</v>
      </c>
      <c r="AD130" s="70">
        <v>2.2999999999999998</v>
      </c>
      <c r="AE130" s="69">
        <v>0</v>
      </c>
      <c r="AF130" s="69">
        <v>0</v>
      </c>
      <c r="AG130" s="69">
        <v>0</v>
      </c>
      <c r="AH130" s="69">
        <v>0</v>
      </c>
      <c r="AI130" s="68">
        <f>AJ129</f>
        <v>6.5</v>
      </c>
      <c r="AJ130" s="68">
        <f>AK129</f>
        <v>6.6</v>
      </c>
      <c r="AK130" s="68">
        <f t="shared" ref="AK130" si="360">AL129</f>
        <v>6.8</v>
      </c>
      <c r="AL130" s="68">
        <f>AM129</f>
        <v>6.6</v>
      </c>
      <c r="AM130" s="70">
        <v>6.6</v>
      </c>
      <c r="AN130" s="69">
        <v>0</v>
      </c>
      <c r="AO130" s="69">
        <v>0</v>
      </c>
      <c r="AP130" s="69">
        <v>0</v>
      </c>
      <c r="AQ130" s="69">
        <v>0</v>
      </c>
    </row>
    <row r="131" spans="2:43">
      <c r="B131">
        <f t="shared" ref="B131:B194" si="361">YEAR(D131)</f>
        <v>1994</v>
      </c>
      <c r="C131">
        <f t="shared" ref="C131:C194" si="362">MONTH(D131)</f>
        <v>5</v>
      </c>
      <c r="D131" s="7">
        <v>34471</v>
      </c>
      <c r="E131" s="6">
        <v>34467</v>
      </c>
      <c r="F131" s="4">
        <v>1</v>
      </c>
      <c r="G131" s="4">
        <v>0</v>
      </c>
      <c r="H131" s="10">
        <v>0.05</v>
      </c>
      <c r="I131">
        <v>2.1447477899642999E-2</v>
      </c>
      <c r="J131" s="12">
        <v>51794</v>
      </c>
      <c r="K131" s="17">
        <v>34471</v>
      </c>
      <c r="L131" s="17">
        <v>34486</v>
      </c>
      <c r="M131" s="30">
        <v>34467</v>
      </c>
      <c r="N131" s="17">
        <v>34486</v>
      </c>
      <c r="O131" s="14">
        <v>0.5</v>
      </c>
      <c r="P131" s="18">
        <v>3.75</v>
      </c>
      <c r="Q131" s="20">
        <v>2.5</v>
      </c>
      <c r="R131" s="20">
        <v>1.9</v>
      </c>
      <c r="S131" s="20">
        <v>2.2999999999999998</v>
      </c>
      <c r="T131" s="20">
        <v>2.2000000000000002</v>
      </c>
      <c r="U131" s="20">
        <v>2.5</v>
      </c>
      <c r="V131" s="19">
        <v>0</v>
      </c>
      <c r="W131" s="19">
        <v>-0.6</v>
      </c>
      <c r="X131" s="19">
        <v>0</v>
      </c>
      <c r="Y131" s="19">
        <v>0</v>
      </c>
      <c r="Z131" s="20">
        <v>2.6</v>
      </c>
      <c r="AA131" s="20">
        <v>4.2</v>
      </c>
      <c r="AB131" s="20">
        <v>2.7</v>
      </c>
      <c r="AC131" s="20">
        <v>2.1</v>
      </c>
      <c r="AD131" s="20">
        <v>2.2000000000000002</v>
      </c>
      <c r="AE131" s="19">
        <v>-0.6</v>
      </c>
      <c r="AF131" s="19">
        <v>1.7</v>
      </c>
      <c r="AG131" s="19">
        <v>0</v>
      </c>
      <c r="AH131" s="19">
        <v>-0.3</v>
      </c>
      <c r="AI131" s="15">
        <v>6.6</v>
      </c>
      <c r="AJ131" s="15">
        <v>6.5</v>
      </c>
      <c r="AK131" s="15">
        <v>6.8</v>
      </c>
      <c r="AL131" s="15">
        <v>6.6</v>
      </c>
      <c r="AM131" s="15">
        <v>6.6</v>
      </c>
      <c r="AN131" s="19">
        <v>0.1</v>
      </c>
      <c r="AO131" s="19">
        <v>-0.1</v>
      </c>
      <c r="AP131" s="19">
        <v>0</v>
      </c>
      <c r="AQ131" s="19">
        <v>0</v>
      </c>
    </row>
    <row r="132" spans="2:43">
      <c r="B132">
        <f t="shared" si="361"/>
        <v>1994</v>
      </c>
      <c r="C132">
        <f t="shared" si="362"/>
        <v>7</v>
      </c>
      <c r="D132" s="7">
        <v>34521</v>
      </c>
      <c r="E132" s="6">
        <v>34515</v>
      </c>
      <c r="F132" s="4">
        <v>1</v>
      </c>
      <c r="G132" s="4">
        <v>0</v>
      </c>
      <c r="H132" s="10">
        <v>0</v>
      </c>
      <c r="I132">
        <v>8.3306906416927406E-3</v>
      </c>
      <c r="J132" s="12">
        <v>70694</v>
      </c>
      <c r="K132" s="17">
        <v>34521</v>
      </c>
      <c r="L132" s="17">
        <v>34578</v>
      </c>
      <c r="M132" s="30">
        <v>34515</v>
      </c>
      <c r="N132" s="17">
        <v>34486</v>
      </c>
      <c r="O132" s="14">
        <v>0</v>
      </c>
      <c r="P132" s="18">
        <v>4.25</v>
      </c>
      <c r="Q132" s="20">
        <v>2.6</v>
      </c>
      <c r="R132" s="20">
        <v>2.4</v>
      </c>
      <c r="S132" s="20">
        <v>2.2000000000000002</v>
      </c>
      <c r="T132" s="20">
        <v>2.2999999999999998</v>
      </c>
      <c r="U132" s="20">
        <v>2.8</v>
      </c>
      <c r="V132" s="19">
        <v>0.1</v>
      </c>
      <c r="W132" s="19">
        <v>0.5</v>
      </c>
      <c r="X132" s="19">
        <v>-0.1</v>
      </c>
      <c r="Y132" s="19">
        <v>0.1</v>
      </c>
      <c r="Z132" s="20">
        <v>3.4</v>
      </c>
      <c r="AA132" s="20">
        <v>3.5</v>
      </c>
      <c r="AB132" s="20">
        <v>2.9</v>
      </c>
      <c r="AC132" s="20">
        <v>2.4</v>
      </c>
      <c r="AD132" s="20">
        <v>2</v>
      </c>
      <c r="AE132" s="19">
        <v>0.8</v>
      </c>
      <c r="AF132" s="19">
        <v>-0.7</v>
      </c>
      <c r="AG132" s="19">
        <v>0.2</v>
      </c>
      <c r="AH132" s="19">
        <v>0.3</v>
      </c>
      <c r="AI132" s="15">
        <v>6.6</v>
      </c>
      <c r="AJ132" s="15">
        <v>6.3</v>
      </c>
      <c r="AK132" s="15">
        <v>6.3</v>
      </c>
      <c r="AL132" s="15">
        <v>6.3</v>
      </c>
      <c r="AM132" s="15">
        <v>6.3</v>
      </c>
      <c r="AN132" s="19">
        <v>0</v>
      </c>
      <c r="AO132" s="19">
        <v>-0.2</v>
      </c>
      <c r="AP132" s="19">
        <v>-0.5</v>
      </c>
      <c r="AQ132" s="19">
        <v>-0.3</v>
      </c>
    </row>
    <row r="133" spans="2:43">
      <c r="B133">
        <f t="shared" si="361"/>
        <v>1994</v>
      </c>
      <c r="C133">
        <f t="shared" si="362"/>
        <v>8</v>
      </c>
      <c r="D133" s="7">
        <v>34562</v>
      </c>
      <c r="E133" s="6">
        <v>34558</v>
      </c>
      <c r="F133" s="4">
        <v>1</v>
      </c>
      <c r="G133" s="4">
        <v>0</v>
      </c>
      <c r="H133" s="10">
        <v>0</v>
      </c>
      <c r="I133">
        <v>-1.80942563442043E-2</v>
      </c>
      <c r="J133" s="12">
        <v>81694</v>
      </c>
      <c r="K133" s="17">
        <v>34562</v>
      </c>
      <c r="L133" s="17">
        <v>34578</v>
      </c>
      <c r="M133" s="30">
        <v>34558</v>
      </c>
      <c r="N133" s="17">
        <v>34578</v>
      </c>
      <c r="O133" s="14">
        <v>0.5</v>
      </c>
      <c r="P133" s="18">
        <v>4.25</v>
      </c>
      <c r="Q133" s="20">
        <v>3</v>
      </c>
      <c r="R133" s="20">
        <v>1.5</v>
      </c>
      <c r="S133" s="20">
        <v>2.5</v>
      </c>
      <c r="T133" s="20">
        <v>2.6</v>
      </c>
      <c r="U133" s="20">
        <v>2.1</v>
      </c>
      <c r="V133" s="19">
        <v>0.6</v>
      </c>
      <c r="W133" s="19">
        <v>-0.7</v>
      </c>
      <c r="X133" s="19">
        <v>0.2</v>
      </c>
      <c r="Y133" s="19">
        <v>-0.2</v>
      </c>
      <c r="Z133" s="20">
        <v>3.7</v>
      </c>
      <c r="AA133" s="20">
        <v>2.8</v>
      </c>
      <c r="AB133" s="20">
        <v>2.2999999999999998</v>
      </c>
      <c r="AC133" s="20">
        <v>1.9</v>
      </c>
      <c r="AD133" s="20">
        <v>2.1</v>
      </c>
      <c r="AE133" s="19">
        <v>0.2</v>
      </c>
      <c r="AF133" s="19">
        <v>-0.1</v>
      </c>
      <c r="AG133" s="19">
        <v>-0.1</v>
      </c>
      <c r="AH133" s="19">
        <v>-0.1</v>
      </c>
      <c r="AI133" s="15">
        <v>6.2</v>
      </c>
      <c r="AJ133" s="15">
        <v>6.2</v>
      </c>
      <c r="AK133" s="15">
        <v>6.2</v>
      </c>
      <c r="AL133" s="15">
        <v>6.2</v>
      </c>
      <c r="AM133" s="15">
        <v>6.2</v>
      </c>
      <c r="AN133" s="19">
        <v>-0.1</v>
      </c>
      <c r="AO133" s="19">
        <v>-0.1</v>
      </c>
      <c r="AP133" s="19">
        <v>-0.1</v>
      </c>
      <c r="AQ133" s="19">
        <v>-0.1</v>
      </c>
    </row>
    <row r="134" spans="2:43">
      <c r="B134">
        <f t="shared" si="361"/>
        <v>1994</v>
      </c>
      <c r="C134">
        <f t="shared" si="362"/>
        <v>9</v>
      </c>
      <c r="D134" s="7">
        <v>34604</v>
      </c>
      <c r="E134" s="6">
        <v>34598</v>
      </c>
      <c r="F134" s="4">
        <v>1</v>
      </c>
      <c r="G134" s="4">
        <v>0</v>
      </c>
      <c r="H134" s="10">
        <v>-0.03</v>
      </c>
      <c r="I134">
        <v>-4.7157794480574902E-2</v>
      </c>
      <c r="J134" s="12">
        <v>92794</v>
      </c>
      <c r="K134" s="17">
        <v>34604</v>
      </c>
      <c r="L134" s="17">
        <v>34578</v>
      </c>
      <c r="M134" s="30">
        <v>34598</v>
      </c>
      <c r="N134" s="17">
        <v>34578</v>
      </c>
      <c r="O134" s="14">
        <v>0.125</v>
      </c>
      <c r="P134" s="18">
        <v>4.75</v>
      </c>
      <c r="Q134" s="20">
        <v>3</v>
      </c>
      <c r="R134" s="20">
        <v>1.7</v>
      </c>
      <c r="S134" s="20">
        <v>2.7</v>
      </c>
      <c r="T134" s="20">
        <v>3</v>
      </c>
      <c r="U134" s="20">
        <v>2.2999999999999998</v>
      </c>
      <c r="V134" s="19">
        <v>0</v>
      </c>
      <c r="W134" s="19">
        <v>0.2</v>
      </c>
      <c r="X134" s="19">
        <v>0.2</v>
      </c>
      <c r="Y134" s="19">
        <v>0.4</v>
      </c>
      <c r="Z134" s="20">
        <v>3.8</v>
      </c>
      <c r="AA134" s="20">
        <v>3</v>
      </c>
      <c r="AB134" s="20">
        <v>2.8</v>
      </c>
      <c r="AC134" s="20">
        <v>1.9</v>
      </c>
      <c r="AD134" s="20">
        <v>1.7</v>
      </c>
      <c r="AE134" s="19">
        <v>0.1</v>
      </c>
      <c r="AF134" s="19">
        <v>0.2</v>
      </c>
      <c r="AG134" s="19">
        <v>0.5</v>
      </c>
      <c r="AH134" s="19">
        <v>0</v>
      </c>
      <c r="AI134" s="15">
        <v>6.2</v>
      </c>
      <c r="AJ134" s="15">
        <v>6.1</v>
      </c>
      <c r="AK134" s="15">
        <v>6</v>
      </c>
      <c r="AL134" s="15">
        <v>6.1</v>
      </c>
      <c r="AM134" s="15">
        <v>6.2</v>
      </c>
      <c r="AN134" s="19">
        <v>0</v>
      </c>
      <c r="AO134" s="19">
        <v>-0.1</v>
      </c>
      <c r="AP134" s="19">
        <v>-0.2</v>
      </c>
      <c r="AQ134" s="19">
        <v>-0.1</v>
      </c>
    </row>
    <row r="135" spans="2:43">
      <c r="B135">
        <f t="shared" si="361"/>
        <v>1994</v>
      </c>
      <c r="C135">
        <f t="shared" si="362"/>
        <v>11</v>
      </c>
      <c r="D135" s="7">
        <v>34653</v>
      </c>
      <c r="E135" s="6">
        <v>34647</v>
      </c>
      <c r="F135" s="4">
        <v>1</v>
      </c>
      <c r="G135" s="4">
        <v>0</v>
      </c>
      <c r="H135" s="10">
        <v>0.08</v>
      </c>
      <c r="I135">
        <v>4.2661748322514903E-2</v>
      </c>
      <c r="J135" s="12">
        <v>111594</v>
      </c>
      <c r="K135" s="17">
        <v>34653</v>
      </c>
      <c r="L135" s="17">
        <v>34669</v>
      </c>
      <c r="M135" s="30">
        <v>34647</v>
      </c>
      <c r="N135" s="17">
        <v>34669</v>
      </c>
      <c r="O135" s="14">
        <v>0.75</v>
      </c>
      <c r="P135" s="18">
        <v>4.75</v>
      </c>
      <c r="Q135" s="20">
        <v>1.6</v>
      </c>
      <c r="R135" s="20">
        <v>2</v>
      </c>
      <c r="S135" s="20">
        <v>3.1</v>
      </c>
      <c r="T135" s="20">
        <v>2.8</v>
      </c>
      <c r="U135" s="20">
        <v>2.6</v>
      </c>
      <c r="V135" s="19">
        <v>-0.1</v>
      </c>
      <c r="W135" s="19">
        <v>-0.7</v>
      </c>
      <c r="X135" s="19">
        <v>0.1</v>
      </c>
      <c r="Y135" s="19">
        <v>0.5</v>
      </c>
      <c r="Z135" s="20">
        <v>3.4</v>
      </c>
      <c r="AA135" s="20">
        <v>4.0999999999999996</v>
      </c>
      <c r="AB135" s="20">
        <v>2.5</v>
      </c>
      <c r="AC135" s="20">
        <v>1.4</v>
      </c>
      <c r="AD135" s="20">
        <v>1</v>
      </c>
      <c r="AE135" s="19">
        <v>0.4</v>
      </c>
      <c r="AF135" s="19">
        <v>1.3</v>
      </c>
      <c r="AG135" s="19">
        <v>0.6</v>
      </c>
      <c r="AH135" s="19">
        <v>-0.3</v>
      </c>
      <c r="AI135" s="15">
        <v>6</v>
      </c>
      <c r="AJ135" s="15">
        <v>5.7</v>
      </c>
      <c r="AK135" s="15">
        <v>5.7</v>
      </c>
      <c r="AL135" s="15">
        <v>5.8</v>
      </c>
      <c r="AM135" s="15">
        <v>6</v>
      </c>
      <c r="AN135" s="19">
        <v>-0.1</v>
      </c>
      <c r="AO135" s="19">
        <v>-0.3</v>
      </c>
      <c r="AP135" s="19">
        <v>-0.4</v>
      </c>
      <c r="AQ135" s="19">
        <v>-0.4</v>
      </c>
    </row>
    <row r="136" spans="2:43">
      <c r="B136">
        <f t="shared" si="361"/>
        <v>1994</v>
      </c>
      <c r="C136">
        <f t="shared" si="362"/>
        <v>12</v>
      </c>
      <c r="D136" s="7">
        <v>34688</v>
      </c>
      <c r="E136" s="6">
        <v>34682</v>
      </c>
      <c r="F136" s="4">
        <v>1</v>
      </c>
      <c r="G136" s="4">
        <v>0</v>
      </c>
      <c r="H136" s="10">
        <v>-0.05</v>
      </c>
      <c r="I136">
        <v>-7.4012813258248294E-2</v>
      </c>
      <c r="J136" s="12">
        <v>122094</v>
      </c>
      <c r="K136" s="17">
        <v>34688</v>
      </c>
      <c r="L136" s="17">
        <v>34669</v>
      </c>
      <c r="M136" s="30">
        <v>34682</v>
      </c>
      <c r="N136" s="17">
        <v>34669</v>
      </c>
      <c r="O136" s="14">
        <v>0</v>
      </c>
      <c r="P136" s="18">
        <v>5.5</v>
      </c>
      <c r="Q136" s="20">
        <v>1.9</v>
      </c>
      <c r="R136" s="20">
        <v>1.7</v>
      </c>
      <c r="S136" s="20">
        <v>3.1</v>
      </c>
      <c r="T136" s="20">
        <v>2.6</v>
      </c>
      <c r="U136" s="20">
        <v>2.5</v>
      </c>
      <c r="V136" s="19">
        <v>0.3</v>
      </c>
      <c r="W136" s="19">
        <v>-0.3</v>
      </c>
      <c r="X136" s="19">
        <v>0</v>
      </c>
      <c r="Y136" s="19">
        <v>-0.2</v>
      </c>
      <c r="Z136" s="20">
        <v>3.9</v>
      </c>
      <c r="AA136" s="20">
        <v>5</v>
      </c>
      <c r="AB136" s="20">
        <v>3</v>
      </c>
      <c r="AC136" s="20">
        <v>2</v>
      </c>
      <c r="AD136" s="20">
        <v>1.3</v>
      </c>
      <c r="AE136" s="19">
        <v>0.5</v>
      </c>
      <c r="AF136" s="19">
        <v>0.9</v>
      </c>
      <c r="AG136" s="19">
        <v>0.5</v>
      </c>
      <c r="AH136" s="19">
        <v>0.6</v>
      </c>
      <c r="AI136" s="15">
        <v>6</v>
      </c>
      <c r="AJ136" s="15">
        <v>5.6</v>
      </c>
      <c r="AK136" s="15">
        <v>5.5</v>
      </c>
      <c r="AL136" s="15">
        <v>5.5</v>
      </c>
      <c r="AM136" s="15">
        <v>5.6</v>
      </c>
      <c r="AN136" s="19">
        <v>0</v>
      </c>
      <c r="AO136" s="19">
        <v>-0.1</v>
      </c>
      <c r="AP136" s="19">
        <v>-0.2</v>
      </c>
      <c r="AQ136" s="19">
        <v>-0.3</v>
      </c>
    </row>
    <row r="137" spans="2:43">
      <c r="B137">
        <f t="shared" si="361"/>
        <v>1995</v>
      </c>
      <c r="C137">
        <f t="shared" si="362"/>
        <v>2</v>
      </c>
      <c r="D137" s="7">
        <v>34731</v>
      </c>
      <c r="E137" s="6">
        <v>34724</v>
      </c>
      <c r="F137" s="4">
        <v>1</v>
      </c>
      <c r="G137" s="4">
        <v>0</v>
      </c>
      <c r="H137" s="10">
        <v>0</v>
      </c>
      <c r="I137">
        <v>-3.8147869926406001E-3</v>
      </c>
      <c r="J137" s="12">
        <v>20195</v>
      </c>
      <c r="K137" s="17">
        <v>34731</v>
      </c>
      <c r="L137" s="17">
        <v>34759</v>
      </c>
      <c r="M137" s="30">
        <v>34724</v>
      </c>
      <c r="N137" s="17">
        <v>34759</v>
      </c>
      <c r="O137" s="14">
        <v>0.5</v>
      </c>
      <c r="P137" s="18">
        <v>5.5</v>
      </c>
      <c r="Q137" s="20">
        <v>1.8</v>
      </c>
      <c r="R137" s="20">
        <v>3.1</v>
      </c>
      <c r="S137" s="20">
        <v>2.4</v>
      </c>
      <c r="T137" s="20">
        <v>2.2999999999999998</v>
      </c>
      <c r="U137" s="20">
        <v>2.2999999999999998</v>
      </c>
      <c r="V137" s="19">
        <v>0.1</v>
      </c>
      <c r="W137" s="19">
        <v>0</v>
      </c>
      <c r="X137" s="19">
        <v>-0.2</v>
      </c>
      <c r="Y137" s="19">
        <v>-0.2</v>
      </c>
      <c r="Z137" s="20">
        <v>5</v>
      </c>
      <c r="AA137" s="20">
        <v>3.2</v>
      </c>
      <c r="AB137" s="20">
        <v>2</v>
      </c>
      <c r="AC137" s="20">
        <v>1.7</v>
      </c>
      <c r="AD137" s="20">
        <v>1.7</v>
      </c>
      <c r="AE137" s="19">
        <v>0</v>
      </c>
      <c r="AF137" s="19">
        <v>0.2</v>
      </c>
      <c r="AG137" s="19">
        <v>0</v>
      </c>
      <c r="AH137" s="19">
        <v>0.4</v>
      </c>
      <c r="AI137" s="15">
        <v>5.6</v>
      </c>
      <c r="AJ137" s="15">
        <v>5.3</v>
      </c>
      <c r="AK137" s="15">
        <v>5.3</v>
      </c>
      <c r="AL137" s="15">
        <v>5.4</v>
      </c>
      <c r="AM137" s="15">
        <v>5.4</v>
      </c>
      <c r="AN137" s="19">
        <v>0</v>
      </c>
      <c r="AO137" s="19">
        <v>-0.2</v>
      </c>
      <c r="AP137" s="19">
        <v>-0.2</v>
      </c>
      <c r="AQ137" s="19">
        <v>-0.2</v>
      </c>
    </row>
    <row r="138" spans="2:43">
      <c r="B138">
        <f t="shared" si="361"/>
        <v>1995</v>
      </c>
      <c r="C138">
        <f t="shared" si="362"/>
        <v>3</v>
      </c>
      <c r="D138" s="7">
        <v>34786</v>
      </c>
      <c r="E138" s="6">
        <v>34780</v>
      </c>
      <c r="F138" s="4">
        <v>1</v>
      </c>
      <c r="G138" s="4">
        <v>0</v>
      </c>
      <c r="H138" s="10">
        <v>0.02</v>
      </c>
      <c r="I138">
        <v>2.8372058864409001E-2</v>
      </c>
      <c r="J138" s="12">
        <v>32895</v>
      </c>
      <c r="K138" s="17">
        <v>34786</v>
      </c>
      <c r="L138" s="17">
        <v>34759</v>
      </c>
      <c r="M138" s="30">
        <v>34780</v>
      </c>
      <c r="N138" s="17">
        <v>34759</v>
      </c>
      <c r="O138" s="14">
        <v>0</v>
      </c>
      <c r="P138" s="18">
        <v>6</v>
      </c>
      <c r="Q138" s="20">
        <v>1.3</v>
      </c>
      <c r="R138" s="20">
        <v>3.3</v>
      </c>
      <c r="S138" s="20">
        <v>2.4</v>
      </c>
      <c r="T138" s="20">
        <v>2.2000000000000002</v>
      </c>
      <c r="U138" s="20">
        <v>2.2000000000000002</v>
      </c>
      <c r="V138" s="19">
        <v>-0.5</v>
      </c>
      <c r="W138" s="19">
        <v>0.2</v>
      </c>
      <c r="X138" s="19">
        <v>0</v>
      </c>
      <c r="Y138" s="19">
        <v>-0.1</v>
      </c>
      <c r="Z138" s="20">
        <v>5.6</v>
      </c>
      <c r="AA138" s="20">
        <v>2.5</v>
      </c>
      <c r="AB138" s="20">
        <v>1.7</v>
      </c>
      <c r="AC138" s="20">
        <v>2.1</v>
      </c>
      <c r="AD138" s="20">
        <v>2.2999999999999998</v>
      </c>
      <c r="AE138" s="19">
        <v>0.6</v>
      </c>
      <c r="AF138" s="19">
        <v>-0.7</v>
      </c>
      <c r="AG138" s="19">
        <v>-0.3</v>
      </c>
      <c r="AH138" s="19">
        <v>0.4</v>
      </c>
      <c r="AI138" s="15">
        <v>5.6</v>
      </c>
      <c r="AJ138" s="15">
        <v>5.5</v>
      </c>
      <c r="AK138" s="15">
        <v>5.5</v>
      </c>
      <c r="AL138" s="15">
        <v>5.6</v>
      </c>
      <c r="AM138" s="15">
        <v>5.7</v>
      </c>
      <c r="AN138" s="19">
        <v>0</v>
      </c>
      <c r="AO138" s="19">
        <v>0.2</v>
      </c>
      <c r="AP138" s="19">
        <v>0.2</v>
      </c>
      <c r="AQ138" s="19">
        <v>0.2</v>
      </c>
    </row>
    <row r="139" spans="2:43">
      <c r="B139">
        <f t="shared" si="361"/>
        <v>1995</v>
      </c>
      <c r="C139">
        <f t="shared" si="362"/>
        <v>5</v>
      </c>
      <c r="D139" s="7">
        <v>34842</v>
      </c>
      <c r="E139" s="6">
        <v>34836</v>
      </c>
      <c r="F139" s="4">
        <v>1</v>
      </c>
      <c r="G139" s="4">
        <v>0</v>
      </c>
      <c r="H139" s="10">
        <v>0</v>
      </c>
      <c r="I139">
        <v>2.0155794681757499E-2</v>
      </c>
      <c r="J139" s="12">
        <v>52395</v>
      </c>
      <c r="K139" s="17">
        <v>34842</v>
      </c>
      <c r="L139" s="17">
        <v>34851</v>
      </c>
      <c r="M139" s="30">
        <v>34836</v>
      </c>
      <c r="N139" s="17">
        <v>34851</v>
      </c>
      <c r="O139" s="14">
        <v>0</v>
      </c>
      <c r="P139" s="18">
        <v>6</v>
      </c>
      <c r="Q139" s="20">
        <v>2.2000000000000002</v>
      </c>
      <c r="R139" s="20">
        <v>2.7</v>
      </c>
      <c r="S139" s="20">
        <v>2.6</v>
      </c>
      <c r="T139" s="20">
        <v>2.4</v>
      </c>
      <c r="U139" s="20">
        <v>2.7</v>
      </c>
      <c r="V139" s="19">
        <v>-1.1000000000000001</v>
      </c>
      <c r="W139" s="19">
        <v>0.3</v>
      </c>
      <c r="X139" s="19">
        <v>0.4</v>
      </c>
      <c r="Y139" s="19">
        <v>0.2</v>
      </c>
      <c r="Z139" s="20">
        <v>2.8</v>
      </c>
      <c r="AA139" s="20">
        <v>0.9</v>
      </c>
      <c r="AB139" s="20">
        <v>1.9</v>
      </c>
      <c r="AC139" s="20">
        <v>2.8</v>
      </c>
      <c r="AD139" s="20">
        <v>2.1</v>
      </c>
      <c r="AE139" s="19">
        <v>0.3</v>
      </c>
      <c r="AF139" s="19">
        <v>-0.8</v>
      </c>
      <c r="AG139" s="19">
        <v>-0.2</v>
      </c>
      <c r="AH139" s="19">
        <v>0.5</v>
      </c>
      <c r="AI139" s="15">
        <v>5.5</v>
      </c>
      <c r="AJ139" s="15">
        <v>5.7</v>
      </c>
      <c r="AK139" s="15">
        <v>5.7</v>
      </c>
      <c r="AL139" s="15">
        <v>5.8</v>
      </c>
      <c r="AM139" s="15">
        <v>5.8</v>
      </c>
      <c r="AN139" s="19">
        <v>0</v>
      </c>
      <c r="AO139" s="19">
        <v>0.2</v>
      </c>
      <c r="AP139" s="19">
        <v>0.1</v>
      </c>
      <c r="AQ139" s="19">
        <v>0.1</v>
      </c>
    </row>
    <row r="140" spans="2:43">
      <c r="B140">
        <f t="shared" si="361"/>
        <v>1995</v>
      </c>
      <c r="C140">
        <f t="shared" si="362"/>
        <v>7</v>
      </c>
      <c r="D140" s="7">
        <v>34886</v>
      </c>
      <c r="E140" s="6">
        <v>34878</v>
      </c>
      <c r="F140" s="4">
        <v>1</v>
      </c>
      <c r="G140" s="4">
        <v>0</v>
      </c>
      <c r="H140" s="10">
        <v>-0.15</v>
      </c>
      <c r="I140">
        <v>-0.115751710727902</v>
      </c>
      <c r="J140" s="12">
        <v>70695</v>
      </c>
      <c r="K140" s="17">
        <v>34886</v>
      </c>
      <c r="L140" s="17">
        <v>34943</v>
      </c>
      <c r="M140" s="30">
        <v>34878</v>
      </c>
      <c r="N140" s="17">
        <v>34851</v>
      </c>
      <c r="O140" s="14">
        <v>-0.25</v>
      </c>
      <c r="P140" s="18">
        <v>6</v>
      </c>
      <c r="Q140" s="20">
        <v>2.2000000000000002</v>
      </c>
      <c r="R140" s="20">
        <v>2.2000000000000002</v>
      </c>
      <c r="S140" s="20">
        <v>2.8</v>
      </c>
      <c r="T140" s="20">
        <v>2.2999999999999998</v>
      </c>
      <c r="U140" s="20">
        <v>2.4</v>
      </c>
      <c r="V140" s="19">
        <v>0</v>
      </c>
      <c r="W140" s="19">
        <v>-0.5</v>
      </c>
      <c r="X140" s="19">
        <v>0.2</v>
      </c>
      <c r="Y140" s="19">
        <v>-0.1</v>
      </c>
      <c r="Z140" s="20">
        <v>2.7</v>
      </c>
      <c r="AA140" s="20">
        <v>-0.5</v>
      </c>
      <c r="AB140" s="20">
        <v>1.1000000000000001</v>
      </c>
      <c r="AC140" s="20">
        <v>3.4</v>
      </c>
      <c r="AD140" s="20">
        <v>2.1</v>
      </c>
      <c r="AE140" s="19">
        <v>-0.1</v>
      </c>
      <c r="AF140" s="19">
        <v>-1.4</v>
      </c>
      <c r="AG140" s="19">
        <v>-0.8</v>
      </c>
      <c r="AH140" s="19">
        <v>0.6</v>
      </c>
      <c r="AI140" s="15">
        <v>5.5</v>
      </c>
      <c r="AJ140" s="15">
        <v>5.8</v>
      </c>
      <c r="AK140" s="15">
        <v>6</v>
      </c>
      <c r="AL140" s="15">
        <v>6</v>
      </c>
      <c r="AM140" s="15">
        <v>6</v>
      </c>
      <c r="AN140" s="19">
        <v>0</v>
      </c>
      <c r="AO140" s="19">
        <v>0.1</v>
      </c>
      <c r="AP140" s="19">
        <v>0.3</v>
      </c>
      <c r="AQ140" s="19">
        <v>0.2</v>
      </c>
    </row>
    <row r="141" spans="2:43">
      <c r="B141">
        <f t="shared" si="361"/>
        <v>1995</v>
      </c>
      <c r="C141">
        <f t="shared" si="362"/>
        <v>8</v>
      </c>
      <c r="D141" s="7">
        <v>34933</v>
      </c>
      <c r="E141" s="6">
        <v>34927</v>
      </c>
      <c r="F141" s="4">
        <v>1</v>
      </c>
      <c r="G141" s="4">
        <v>0</v>
      </c>
      <c r="H141" s="10">
        <v>0</v>
      </c>
      <c r="I141">
        <v>2.0167198100458E-2</v>
      </c>
      <c r="J141" s="12">
        <v>82295</v>
      </c>
      <c r="K141" s="17">
        <v>34933</v>
      </c>
      <c r="L141" s="17">
        <v>34943</v>
      </c>
      <c r="M141" s="30">
        <v>34927</v>
      </c>
      <c r="N141" s="17">
        <v>34943</v>
      </c>
      <c r="O141" s="14">
        <v>0</v>
      </c>
      <c r="P141" s="18">
        <v>5.75</v>
      </c>
      <c r="Q141" s="20">
        <v>1.3</v>
      </c>
      <c r="R141" s="20">
        <v>2.5</v>
      </c>
      <c r="S141" s="20">
        <v>2.4</v>
      </c>
      <c r="T141" s="20">
        <v>2.4</v>
      </c>
      <c r="U141" s="20">
        <v>2</v>
      </c>
      <c r="V141" s="19">
        <v>-0.9</v>
      </c>
      <c r="W141" s="19">
        <v>-0.3</v>
      </c>
      <c r="X141" s="19">
        <v>0.1</v>
      </c>
      <c r="Y141" s="19">
        <v>0</v>
      </c>
      <c r="Z141" s="20">
        <v>0.5</v>
      </c>
      <c r="AA141" s="20">
        <v>2.2000000000000002</v>
      </c>
      <c r="AB141" s="20">
        <v>2.9</v>
      </c>
      <c r="AC141" s="20">
        <v>2.2999999999999998</v>
      </c>
      <c r="AD141" s="20">
        <v>2.2999999999999998</v>
      </c>
      <c r="AE141" s="19">
        <v>1</v>
      </c>
      <c r="AF141" s="19">
        <v>1.1000000000000001</v>
      </c>
      <c r="AG141" s="19">
        <v>-0.5</v>
      </c>
      <c r="AH141" s="19">
        <v>0.2</v>
      </c>
      <c r="AI141" s="15">
        <v>5.7</v>
      </c>
      <c r="AJ141" s="15">
        <v>5.8</v>
      </c>
      <c r="AK141" s="15">
        <v>5.8</v>
      </c>
      <c r="AL141" s="15">
        <v>5.8</v>
      </c>
      <c r="AM141" s="15">
        <v>5.9</v>
      </c>
      <c r="AN141" s="19">
        <v>-0.1</v>
      </c>
      <c r="AO141" s="19">
        <v>-0.2</v>
      </c>
      <c r="AP141" s="19">
        <v>-0.2</v>
      </c>
      <c r="AQ141" s="19">
        <v>-0.2</v>
      </c>
    </row>
    <row r="142" spans="2:43">
      <c r="B142">
        <f t="shared" si="361"/>
        <v>1995</v>
      </c>
      <c r="C142">
        <f t="shared" si="362"/>
        <v>9</v>
      </c>
      <c r="D142" s="7">
        <v>34968</v>
      </c>
      <c r="E142" s="6">
        <v>34962</v>
      </c>
      <c r="F142" s="4">
        <v>1</v>
      </c>
      <c r="G142" s="4">
        <v>0</v>
      </c>
      <c r="H142" s="10">
        <v>0.03</v>
      </c>
      <c r="I142">
        <v>4.18321583527528E-2</v>
      </c>
      <c r="J142" s="12">
        <v>92695</v>
      </c>
      <c r="K142" s="17">
        <v>34968</v>
      </c>
      <c r="L142" s="17">
        <v>34943</v>
      </c>
      <c r="M142" s="30">
        <v>34962</v>
      </c>
      <c r="N142" s="17">
        <v>34943</v>
      </c>
      <c r="O142" s="14">
        <v>0</v>
      </c>
      <c r="P142" s="18">
        <v>5.75</v>
      </c>
      <c r="Q142" s="20">
        <v>1.6</v>
      </c>
      <c r="R142" s="20">
        <v>2.7</v>
      </c>
      <c r="S142" s="20">
        <v>2.6</v>
      </c>
      <c r="T142" s="20">
        <v>2.8</v>
      </c>
      <c r="U142" s="20">
        <v>2.1</v>
      </c>
      <c r="V142" s="19">
        <v>0.3</v>
      </c>
      <c r="W142" s="19">
        <v>0.2</v>
      </c>
      <c r="X142" s="19">
        <v>0.2</v>
      </c>
      <c r="Y142" s="19">
        <v>0.4</v>
      </c>
      <c r="Z142" s="20">
        <v>1.1000000000000001</v>
      </c>
      <c r="AA142" s="20">
        <v>2.2000000000000002</v>
      </c>
      <c r="AB142" s="20">
        <v>2.5</v>
      </c>
      <c r="AC142" s="20">
        <v>2.2999999999999998</v>
      </c>
      <c r="AD142" s="20">
        <v>2.2000000000000002</v>
      </c>
      <c r="AE142" s="19">
        <v>0.6</v>
      </c>
      <c r="AF142" s="19">
        <v>0</v>
      </c>
      <c r="AG142" s="19">
        <v>-0.4</v>
      </c>
      <c r="AH142" s="19">
        <v>0</v>
      </c>
      <c r="AI142" s="15">
        <v>5.7</v>
      </c>
      <c r="AJ142" s="15">
        <v>5.7</v>
      </c>
      <c r="AK142" s="15">
        <v>5.8</v>
      </c>
      <c r="AL142" s="15">
        <v>5.8</v>
      </c>
      <c r="AM142" s="15">
        <v>5.9</v>
      </c>
      <c r="AN142" s="19">
        <v>0</v>
      </c>
      <c r="AO142" s="19">
        <v>-0.1</v>
      </c>
      <c r="AP142" s="19">
        <v>0</v>
      </c>
      <c r="AQ142" s="19">
        <v>0</v>
      </c>
    </row>
    <row r="143" spans="2:43">
      <c r="B143">
        <f t="shared" si="361"/>
        <v>1995</v>
      </c>
      <c r="C143">
        <f t="shared" si="362"/>
        <v>11</v>
      </c>
      <c r="D143" s="7">
        <v>35018</v>
      </c>
      <c r="E143" s="6">
        <v>35011</v>
      </c>
      <c r="F143" s="4">
        <v>1</v>
      </c>
      <c r="G143" s="4">
        <v>0</v>
      </c>
      <c r="H143" s="10">
        <v>0</v>
      </c>
      <c r="I143">
        <v>1.80194807900904E-2</v>
      </c>
      <c r="J143" s="12">
        <v>111595</v>
      </c>
      <c r="K143" s="17">
        <v>35018</v>
      </c>
      <c r="L143" s="17">
        <v>35034</v>
      </c>
      <c r="M143" s="30">
        <v>35011</v>
      </c>
      <c r="N143" s="17">
        <v>35034</v>
      </c>
      <c r="O143" s="14">
        <v>0</v>
      </c>
      <c r="P143" s="18">
        <v>5.75</v>
      </c>
      <c r="Q143" s="20">
        <v>0.5</v>
      </c>
      <c r="R143" s="20">
        <v>2.1</v>
      </c>
      <c r="S143" s="20">
        <v>2.5</v>
      </c>
      <c r="T143" s="20">
        <v>2.2000000000000002</v>
      </c>
      <c r="U143" s="20">
        <v>2.1</v>
      </c>
      <c r="V143" s="19">
        <v>-2.2000000000000002</v>
      </c>
      <c r="W143" s="19">
        <v>-0.5</v>
      </c>
      <c r="X143" s="19">
        <v>-0.3</v>
      </c>
      <c r="Y143" s="19">
        <v>0.1</v>
      </c>
      <c r="Z143" s="20">
        <v>4.0999999999999996</v>
      </c>
      <c r="AA143" s="20">
        <v>2.6</v>
      </c>
      <c r="AB143" s="20">
        <v>2.7</v>
      </c>
      <c r="AC143" s="20">
        <v>2.7</v>
      </c>
      <c r="AD143" s="20">
        <v>2.1</v>
      </c>
      <c r="AE143" s="19">
        <v>1.9</v>
      </c>
      <c r="AF143" s="19">
        <v>0.1</v>
      </c>
      <c r="AG143" s="19">
        <v>0.4</v>
      </c>
      <c r="AH143" s="19">
        <v>0.5</v>
      </c>
      <c r="AI143" s="15">
        <v>5.6</v>
      </c>
      <c r="AJ143" s="15">
        <v>5.6</v>
      </c>
      <c r="AK143" s="15">
        <v>5.6</v>
      </c>
      <c r="AL143" s="15">
        <v>5.6</v>
      </c>
      <c r="AM143" s="15">
        <v>5.6</v>
      </c>
      <c r="AN143" s="19">
        <v>-0.1</v>
      </c>
      <c r="AO143" s="19">
        <v>-0.2</v>
      </c>
      <c r="AP143" s="19">
        <v>-0.2</v>
      </c>
      <c r="AQ143" s="19">
        <v>-0.3</v>
      </c>
    </row>
    <row r="144" spans="2:43">
      <c r="B144">
        <f t="shared" si="361"/>
        <v>1995</v>
      </c>
      <c r="C144">
        <f t="shared" si="362"/>
        <v>12</v>
      </c>
      <c r="D144" s="7">
        <v>35052</v>
      </c>
      <c r="E144" s="6">
        <v>35047</v>
      </c>
      <c r="F144" s="4">
        <v>1</v>
      </c>
      <c r="G144" s="4">
        <v>0</v>
      </c>
      <c r="H144" s="10">
        <v>-0.05</v>
      </c>
      <c r="I144">
        <v>-4.2070203134291502E-2</v>
      </c>
      <c r="J144" s="12">
        <v>121995</v>
      </c>
      <c r="K144" s="17">
        <v>35052</v>
      </c>
      <c r="L144" s="17">
        <v>35034</v>
      </c>
      <c r="M144" s="30">
        <v>35047</v>
      </c>
      <c r="N144" s="17">
        <v>35034</v>
      </c>
      <c r="O144" s="14">
        <v>-0.25</v>
      </c>
      <c r="P144" s="18">
        <v>5.75</v>
      </c>
      <c r="Q144" s="20">
        <v>0.5</v>
      </c>
      <c r="R144" s="20">
        <v>1.9</v>
      </c>
      <c r="S144" s="20">
        <v>2.6</v>
      </c>
      <c r="T144" s="20">
        <v>2.2000000000000002</v>
      </c>
      <c r="U144" s="20">
        <v>2</v>
      </c>
      <c r="V144" s="19">
        <v>0</v>
      </c>
      <c r="W144" s="19">
        <v>-0.2</v>
      </c>
      <c r="X144" s="19">
        <v>0.1</v>
      </c>
      <c r="Y144" s="19">
        <v>0</v>
      </c>
      <c r="Z144" s="20">
        <v>5.4</v>
      </c>
      <c r="AA144" s="20">
        <v>1.9</v>
      </c>
      <c r="AB144" s="20">
        <v>2.5</v>
      </c>
      <c r="AC144" s="20">
        <v>2.4</v>
      </c>
      <c r="AD144" s="20">
        <v>2</v>
      </c>
      <c r="AE144" s="19">
        <v>1.3</v>
      </c>
      <c r="AF144" s="19">
        <v>-0.7</v>
      </c>
      <c r="AG144" s="19">
        <v>-0.2</v>
      </c>
      <c r="AH144" s="19">
        <v>-0.3</v>
      </c>
      <c r="AI144" s="15">
        <v>5.6</v>
      </c>
      <c r="AJ144" s="15">
        <v>5.6</v>
      </c>
      <c r="AK144" s="15">
        <v>5.6</v>
      </c>
      <c r="AL144" s="15">
        <v>5.6</v>
      </c>
      <c r="AM144" s="15">
        <v>5.6</v>
      </c>
      <c r="AN144" s="19">
        <v>0</v>
      </c>
      <c r="AO144" s="19">
        <v>0</v>
      </c>
      <c r="AP144" s="19">
        <v>0</v>
      </c>
      <c r="AQ144" s="19">
        <v>0</v>
      </c>
    </row>
    <row r="145" spans="2:43">
      <c r="B145">
        <f t="shared" si="361"/>
        <v>1996</v>
      </c>
      <c r="C145">
        <f t="shared" si="362"/>
        <v>1</v>
      </c>
      <c r="D145" s="7">
        <v>35095</v>
      </c>
      <c r="E145" s="6">
        <v>35090</v>
      </c>
      <c r="F145" s="4">
        <v>1</v>
      </c>
      <c r="G145" s="4">
        <v>0</v>
      </c>
      <c r="H145" s="10">
        <v>-0.02</v>
      </c>
      <c r="I145">
        <v>1.6262623511274801E-2</v>
      </c>
      <c r="J145" s="12">
        <v>13196</v>
      </c>
      <c r="K145" s="17">
        <v>35095</v>
      </c>
      <c r="L145" s="17">
        <v>35125</v>
      </c>
      <c r="M145" s="30">
        <v>35090</v>
      </c>
      <c r="N145" s="17">
        <v>35125</v>
      </c>
      <c r="O145" s="14">
        <v>-0.25</v>
      </c>
      <c r="P145" s="18">
        <v>5.5</v>
      </c>
      <c r="Q145" s="20">
        <v>2.6</v>
      </c>
      <c r="R145" s="20">
        <v>3.4</v>
      </c>
      <c r="S145" s="20">
        <v>2.4</v>
      </c>
      <c r="T145" s="20">
        <v>2.6</v>
      </c>
      <c r="U145" s="20">
        <v>2.4</v>
      </c>
      <c r="V145" s="19">
        <v>0.7</v>
      </c>
      <c r="W145" s="19">
        <v>0.8</v>
      </c>
      <c r="X145" s="19">
        <v>0.2</v>
      </c>
      <c r="Y145" s="19">
        <v>0.6</v>
      </c>
      <c r="Z145" s="20">
        <v>1.9</v>
      </c>
      <c r="AA145" s="20">
        <v>0.8</v>
      </c>
      <c r="AB145" s="20">
        <v>2</v>
      </c>
      <c r="AC145" s="20">
        <v>2</v>
      </c>
      <c r="AD145" s="20">
        <v>2.5</v>
      </c>
      <c r="AE145" s="19">
        <v>0</v>
      </c>
      <c r="AF145" s="19">
        <v>-1.7</v>
      </c>
      <c r="AG145" s="19">
        <v>-0.4</v>
      </c>
      <c r="AH145" s="19">
        <v>0</v>
      </c>
      <c r="AI145" s="15">
        <v>5.6</v>
      </c>
      <c r="AJ145" s="15">
        <v>5.6</v>
      </c>
      <c r="AK145" s="15">
        <v>5.6</v>
      </c>
      <c r="AL145" s="15">
        <v>5.6</v>
      </c>
      <c r="AM145" s="15">
        <v>5.6</v>
      </c>
      <c r="AN145" s="19">
        <v>0</v>
      </c>
      <c r="AO145" s="19">
        <v>0</v>
      </c>
      <c r="AP145" s="19">
        <v>0</v>
      </c>
      <c r="AQ145" s="19">
        <v>0</v>
      </c>
    </row>
    <row r="146" spans="2:43">
      <c r="B146">
        <f t="shared" si="361"/>
        <v>1996</v>
      </c>
      <c r="C146">
        <f t="shared" si="362"/>
        <v>3</v>
      </c>
      <c r="D146" s="7">
        <v>35150</v>
      </c>
      <c r="E146" s="6">
        <v>35145</v>
      </c>
      <c r="F146" s="4">
        <v>1</v>
      </c>
      <c r="G146" s="4">
        <v>0</v>
      </c>
      <c r="H146" s="10">
        <v>9.9900000000000006E-3</v>
      </c>
      <c r="I146">
        <v>-2.4418664285086101E-3</v>
      </c>
      <c r="J146" s="12">
        <v>32696</v>
      </c>
      <c r="K146" s="17">
        <v>35150</v>
      </c>
      <c r="L146" s="17">
        <v>35125</v>
      </c>
      <c r="M146" s="30">
        <v>35145</v>
      </c>
      <c r="N146" s="17">
        <v>35125</v>
      </c>
      <c r="O146" s="14">
        <v>0</v>
      </c>
      <c r="P146" s="18">
        <v>5.25</v>
      </c>
      <c r="Q146" s="20">
        <v>1.8</v>
      </c>
      <c r="R146" s="20">
        <v>3</v>
      </c>
      <c r="S146" s="20">
        <v>2.4</v>
      </c>
      <c r="T146" s="20">
        <v>2.5</v>
      </c>
      <c r="U146" s="20">
        <v>2.5</v>
      </c>
      <c r="V146" s="19">
        <v>-0.8</v>
      </c>
      <c r="W146" s="19">
        <v>-0.4</v>
      </c>
      <c r="X146" s="19">
        <v>0</v>
      </c>
      <c r="Y146" s="19">
        <v>-0.1</v>
      </c>
      <c r="Z146" s="20">
        <v>0.3</v>
      </c>
      <c r="AA146" s="20">
        <v>1.5</v>
      </c>
      <c r="AB146" s="20">
        <v>3.4</v>
      </c>
      <c r="AC146" s="20">
        <v>1.8</v>
      </c>
      <c r="AD146" s="20">
        <v>2.2999999999999998</v>
      </c>
      <c r="AE146" s="19">
        <v>-1.6</v>
      </c>
      <c r="AF146" s="19">
        <v>0.7</v>
      </c>
      <c r="AG146" s="19">
        <v>1.4</v>
      </c>
      <c r="AH146" s="19">
        <v>-0.2</v>
      </c>
      <c r="AI146" s="15">
        <v>5.5</v>
      </c>
      <c r="AJ146" s="15">
        <v>5.6</v>
      </c>
      <c r="AK146" s="15">
        <v>5.6</v>
      </c>
      <c r="AL146" s="15">
        <v>5.6</v>
      </c>
      <c r="AM146" s="15">
        <v>5.6</v>
      </c>
      <c r="AN146" s="19">
        <v>-0.1</v>
      </c>
      <c r="AO146" s="19">
        <v>0</v>
      </c>
      <c r="AP146" s="19">
        <v>0</v>
      </c>
      <c r="AQ146" s="19">
        <v>0</v>
      </c>
    </row>
    <row r="147" spans="2:43">
      <c r="B147">
        <f t="shared" si="361"/>
        <v>1996</v>
      </c>
      <c r="C147">
        <f t="shared" si="362"/>
        <v>5</v>
      </c>
      <c r="D147" s="7">
        <v>35206</v>
      </c>
      <c r="E147" s="6">
        <v>35201</v>
      </c>
      <c r="F147" s="4">
        <v>1</v>
      </c>
      <c r="G147" s="4">
        <v>0</v>
      </c>
      <c r="H147" s="10">
        <v>0</v>
      </c>
      <c r="I147">
        <v>1.26591226223718E-2</v>
      </c>
      <c r="J147" s="12">
        <v>52196</v>
      </c>
      <c r="K147" s="17">
        <v>35206</v>
      </c>
      <c r="L147" s="17">
        <v>35217</v>
      </c>
      <c r="M147" s="30">
        <v>35201</v>
      </c>
      <c r="N147" s="17">
        <v>35217</v>
      </c>
      <c r="O147" s="14">
        <v>0</v>
      </c>
      <c r="P147" s="18">
        <v>5.25</v>
      </c>
      <c r="Q147" s="20">
        <v>2.5</v>
      </c>
      <c r="R147" s="20">
        <v>2.5</v>
      </c>
      <c r="S147" s="20">
        <v>3.2</v>
      </c>
      <c r="T147" s="20">
        <v>2.9</v>
      </c>
      <c r="U147" s="20">
        <v>3.1</v>
      </c>
      <c r="V147" s="19">
        <v>-0.5</v>
      </c>
      <c r="W147" s="19">
        <v>0.1</v>
      </c>
      <c r="X147" s="19">
        <v>0.7</v>
      </c>
      <c r="Y147" s="19">
        <v>0.4</v>
      </c>
      <c r="Z147" s="20">
        <v>2.5</v>
      </c>
      <c r="AA147" s="20">
        <v>3.5</v>
      </c>
      <c r="AB147" s="20">
        <v>2</v>
      </c>
      <c r="AC147" s="20">
        <v>1.9</v>
      </c>
      <c r="AD147" s="20">
        <v>2.2999999999999998</v>
      </c>
      <c r="AE147" s="19">
        <v>1</v>
      </c>
      <c r="AF147" s="19">
        <v>0.1</v>
      </c>
      <c r="AG147" s="19">
        <v>0.2</v>
      </c>
      <c r="AH147" s="19">
        <v>-0.4</v>
      </c>
      <c r="AI147" s="15">
        <v>5.6</v>
      </c>
      <c r="AJ147" s="15">
        <v>5.5</v>
      </c>
      <c r="AK147" s="15">
        <v>5.5</v>
      </c>
      <c r="AL147" s="15">
        <v>5.5</v>
      </c>
      <c r="AM147" s="15">
        <v>5.5</v>
      </c>
      <c r="AN147" s="19">
        <v>0</v>
      </c>
      <c r="AO147" s="19">
        <v>-0.1</v>
      </c>
      <c r="AP147" s="19">
        <v>-0.1</v>
      </c>
      <c r="AQ147" s="19">
        <v>-0.1</v>
      </c>
    </row>
    <row r="148" spans="2:43">
      <c r="B148">
        <f t="shared" si="361"/>
        <v>1996</v>
      </c>
      <c r="C148">
        <f t="shared" si="362"/>
        <v>7</v>
      </c>
      <c r="D148" s="7">
        <v>35249</v>
      </c>
      <c r="E148" s="6">
        <v>35242</v>
      </c>
      <c r="F148" s="4">
        <v>1</v>
      </c>
      <c r="G148" s="4">
        <v>0</v>
      </c>
      <c r="H148" s="10">
        <v>-0.03</v>
      </c>
      <c r="I148">
        <v>-3.0149615246217201E-2</v>
      </c>
      <c r="J148" s="12">
        <v>70396</v>
      </c>
      <c r="K148" s="17">
        <v>35249</v>
      </c>
      <c r="L148" s="17">
        <v>35309</v>
      </c>
      <c r="M148" s="30">
        <v>35242</v>
      </c>
      <c r="N148" s="17">
        <v>35217</v>
      </c>
      <c r="O148" s="14">
        <v>0</v>
      </c>
      <c r="P148" s="18">
        <v>5.25</v>
      </c>
      <c r="Q148" s="20">
        <v>2.2999999999999998</v>
      </c>
      <c r="R148" s="20">
        <v>2.1</v>
      </c>
      <c r="S148" s="20">
        <v>2.6</v>
      </c>
      <c r="T148" s="20">
        <v>2.7</v>
      </c>
      <c r="U148" s="20">
        <v>2.8</v>
      </c>
      <c r="V148" s="19">
        <v>-0.2</v>
      </c>
      <c r="W148" s="19">
        <v>-0.4</v>
      </c>
      <c r="X148" s="19">
        <v>-0.6</v>
      </c>
      <c r="Y148" s="19">
        <v>-0.2</v>
      </c>
      <c r="Z148" s="20">
        <v>2.2000000000000002</v>
      </c>
      <c r="AA148" s="20">
        <v>3.8</v>
      </c>
      <c r="AB148" s="20">
        <v>2.2999999999999998</v>
      </c>
      <c r="AC148" s="20">
        <v>1.9</v>
      </c>
      <c r="AD148" s="20">
        <v>2.1</v>
      </c>
      <c r="AE148" s="19">
        <v>-0.3</v>
      </c>
      <c r="AF148" s="19">
        <v>0.3</v>
      </c>
      <c r="AG148" s="19">
        <v>0.3</v>
      </c>
      <c r="AH148" s="19">
        <v>0</v>
      </c>
      <c r="AI148" s="15">
        <v>5.6</v>
      </c>
      <c r="AJ148" s="15">
        <v>5.5</v>
      </c>
      <c r="AK148" s="15">
        <v>5.5</v>
      </c>
      <c r="AL148" s="15">
        <v>5.5</v>
      </c>
      <c r="AM148" s="15">
        <v>5.5</v>
      </c>
      <c r="AN148" s="19">
        <v>0</v>
      </c>
      <c r="AO148" s="19">
        <v>0</v>
      </c>
      <c r="AP148" s="19">
        <v>0</v>
      </c>
      <c r="AQ148" s="19">
        <v>0</v>
      </c>
    </row>
    <row r="149" spans="2:43">
      <c r="B149">
        <f t="shared" si="361"/>
        <v>1996</v>
      </c>
      <c r="C149">
        <f t="shared" si="362"/>
        <v>8</v>
      </c>
      <c r="D149" s="7">
        <v>35297</v>
      </c>
      <c r="E149" s="6">
        <v>35292</v>
      </c>
      <c r="F149" s="4">
        <v>1</v>
      </c>
      <c r="G149" s="4">
        <v>0</v>
      </c>
      <c r="H149" s="10">
        <v>0</v>
      </c>
      <c r="I149">
        <v>1.07152916109645E-2</v>
      </c>
      <c r="J149" s="12">
        <v>82096</v>
      </c>
      <c r="K149" s="17">
        <v>35297</v>
      </c>
      <c r="L149" s="17">
        <v>35309</v>
      </c>
      <c r="M149" s="30">
        <v>35292</v>
      </c>
      <c r="N149" s="17">
        <v>35309</v>
      </c>
      <c r="O149" s="14">
        <v>0</v>
      </c>
      <c r="P149" s="18">
        <v>5.25</v>
      </c>
      <c r="Q149" s="20">
        <v>2.2000000000000002</v>
      </c>
      <c r="R149" s="20">
        <v>2.2999999999999998</v>
      </c>
      <c r="S149" s="20">
        <v>3</v>
      </c>
      <c r="T149" s="20">
        <v>3</v>
      </c>
      <c r="U149" s="20">
        <v>2.8</v>
      </c>
      <c r="V149" s="19">
        <v>0.1</v>
      </c>
      <c r="W149" s="19">
        <v>-0.3</v>
      </c>
      <c r="X149" s="19">
        <v>0.3</v>
      </c>
      <c r="Y149" s="19">
        <v>0.2</v>
      </c>
      <c r="Z149" s="20">
        <v>3.7</v>
      </c>
      <c r="AA149" s="20">
        <v>2.6</v>
      </c>
      <c r="AB149" s="20">
        <v>2</v>
      </c>
      <c r="AC149" s="20">
        <v>2</v>
      </c>
      <c r="AD149" s="20">
        <v>2.1</v>
      </c>
      <c r="AE149" s="19">
        <v>-0.1</v>
      </c>
      <c r="AF149" s="19">
        <v>0.3</v>
      </c>
      <c r="AG149" s="19">
        <v>0.1</v>
      </c>
      <c r="AH149" s="19">
        <v>-0.1</v>
      </c>
      <c r="AI149" s="15">
        <v>5.4</v>
      </c>
      <c r="AJ149" s="15">
        <v>5.4</v>
      </c>
      <c r="AK149" s="15">
        <v>5.4</v>
      </c>
      <c r="AL149" s="15">
        <v>5.4</v>
      </c>
      <c r="AM149" s="15">
        <v>5.4</v>
      </c>
      <c r="AN149" s="19">
        <v>-0.1</v>
      </c>
      <c r="AO149" s="19">
        <v>-0.1</v>
      </c>
      <c r="AP149" s="19">
        <v>-0.1</v>
      </c>
      <c r="AQ149" s="19">
        <v>-0.1</v>
      </c>
    </row>
    <row r="150" spans="2:43">
      <c r="B150">
        <f t="shared" si="361"/>
        <v>1996</v>
      </c>
      <c r="C150">
        <f t="shared" si="362"/>
        <v>9</v>
      </c>
      <c r="D150" s="7">
        <v>35332</v>
      </c>
      <c r="E150" s="6">
        <v>35326</v>
      </c>
      <c r="F150" s="4">
        <v>1</v>
      </c>
      <c r="G150" s="4">
        <v>0</v>
      </c>
      <c r="H150" s="10">
        <v>-0.13</v>
      </c>
      <c r="I150">
        <v>-0.118381860003675</v>
      </c>
      <c r="J150" s="12">
        <v>92496</v>
      </c>
      <c r="K150" s="17">
        <v>35332</v>
      </c>
      <c r="L150" s="17">
        <v>35309</v>
      </c>
      <c r="M150" s="30">
        <v>35326</v>
      </c>
      <c r="N150" s="17">
        <v>35309</v>
      </c>
      <c r="O150" s="14">
        <v>0</v>
      </c>
      <c r="P150" s="18">
        <v>5.25</v>
      </c>
      <c r="Q150" s="20">
        <v>2.2000000000000002</v>
      </c>
      <c r="R150" s="20">
        <v>2.1</v>
      </c>
      <c r="S150" s="20">
        <v>2.6</v>
      </c>
      <c r="T150" s="20">
        <v>3</v>
      </c>
      <c r="U150" s="20">
        <v>2.7</v>
      </c>
      <c r="V150" s="19">
        <v>0</v>
      </c>
      <c r="W150" s="19">
        <v>-0.2</v>
      </c>
      <c r="X150" s="19">
        <v>-0.4</v>
      </c>
      <c r="Y150" s="19">
        <v>0</v>
      </c>
      <c r="Z150" s="20">
        <v>4.7</v>
      </c>
      <c r="AA150" s="20">
        <v>2.4</v>
      </c>
      <c r="AB150" s="20">
        <v>2.2000000000000002</v>
      </c>
      <c r="AC150" s="20">
        <v>2.1</v>
      </c>
      <c r="AD150" s="20">
        <v>2.1</v>
      </c>
      <c r="AE150" s="19">
        <v>1</v>
      </c>
      <c r="AF150" s="19">
        <v>-0.2</v>
      </c>
      <c r="AG150" s="19">
        <v>0.2</v>
      </c>
      <c r="AH150" s="19">
        <v>0.1</v>
      </c>
      <c r="AI150" s="15">
        <v>5.4</v>
      </c>
      <c r="AJ150" s="15">
        <v>5.3</v>
      </c>
      <c r="AK150" s="15">
        <v>5.4</v>
      </c>
      <c r="AL150" s="15">
        <v>5.4</v>
      </c>
      <c r="AM150" s="15">
        <v>5.4</v>
      </c>
      <c r="AN150" s="19">
        <v>0</v>
      </c>
      <c r="AO150" s="19">
        <v>-0.1</v>
      </c>
      <c r="AP150" s="19">
        <v>0</v>
      </c>
      <c r="AQ150" s="19">
        <v>0</v>
      </c>
    </row>
    <row r="151" spans="2:43">
      <c r="B151">
        <f t="shared" si="361"/>
        <v>1996</v>
      </c>
      <c r="C151">
        <f t="shared" si="362"/>
        <v>11</v>
      </c>
      <c r="D151" s="7">
        <v>35382</v>
      </c>
      <c r="E151" s="6">
        <v>35375</v>
      </c>
      <c r="F151" s="4">
        <v>1</v>
      </c>
      <c r="G151" s="4">
        <v>0</v>
      </c>
      <c r="H151" s="10">
        <v>-0.01</v>
      </c>
      <c r="I151">
        <v>3.57492777154675E-3</v>
      </c>
      <c r="J151" s="12">
        <v>111396</v>
      </c>
      <c r="K151" s="17">
        <v>35382</v>
      </c>
      <c r="L151" s="17">
        <v>35400</v>
      </c>
      <c r="M151" s="30">
        <v>35375</v>
      </c>
      <c r="N151" s="17">
        <v>35400</v>
      </c>
      <c r="O151" s="14">
        <v>0</v>
      </c>
      <c r="P151" s="18">
        <v>5.25</v>
      </c>
      <c r="Q151" s="20">
        <v>1.9</v>
      </c>
      <c r="R151" s="20">
        <v>2.5</v>
      </c>
      <c r="S151" s="20">
        <v>2.9</v>
      </c>
      <c r="T151" s="20">
        <v>2.4</v>
      </c>
      <c r="U151" s="20">
        <v>2.4</v>
      </c>
      <c r="V151" s="19">
        <v>-0.2</v>
      </c>
      <c r="W151" s="19">
        <v>-0.1</v>
      </c>
      <c r="X151" s="19">
        <v>-0.1</v>
      </c>
      <c r="Y151" s="19">
        <v>-0.3</v>
      </c>
      <c r="Z151" s="20">
        <v>2.5</v>
      </c>
      <c r="AA151" s="20">
        <v>1.8</v>
      </c>
      <c r="AB151" s="20">
        <v>2.4</v>
      </c>
      <c r="AC151" s="20">
        <v>2.2000000000000002</v>
      </c>
      <c r="AD151" s="20">
        <v>2.2000000000000002</v>
      </c>
      <c r="AE151" s="19">
        <v>0.1</v>
      </c>
      <c r="AF151" s="19">
        <v>-0.4</v>
      </c>
      <c r="AG151" s="19">
        <v>0.3</v>
      </c>
      <c r="AH151" s="19">
        <v>0.1</v>
      </c>
      <c r="AI151" s="15">
        <v>5.2</v>
      </c>
      <c r="AJ151" s="15">
        <v>5.2</v>
      </c>
      <c r="AK151" s="15">
        <v>5.2</v>
      </c>
      <c r="AL151" s="15">
        <v>5.2</v>
      </c>
      <c r="AM151" s="15">
        <v>5.2</v>
      </c>
      <c r="AN151" s="19">
        <v>-0.1</v>
      </c>
      <c r="AO151" s="19">
        <v>-0.2</v>
      </c>
      <c r="AP151" s="19">
        <v>-0.2</v>
      </c>
      <c r="AQ151" s="19">
        <v>-0.2</v>
      </c>
    </row>
    <row r="152" spans="2:43" ht="17" customHeight="1">
      <c r="B152">
        <f t="shared" si="361"/>
        <v>1996</v>
      </c>
      <c r="C152">
        <f t="shared" si="362"/>
        <v>12</v>
      </c>
      <c r="D152" s="7">
        <v>35416</v>
      </c>
      <c r="E152" s="6">
        <v>35411</v>
      </c>
      <c r="F152" s="4">
        <v>1</v>
      </c>
      <c r="G152" s="4">
        <v>0</v>
      </c>
      <c r="H152" s="10">
        <v>-0.01</v>
      </c>
      <c r="I152">
        <v>7.5781535580206E-3</v>
      </c>
      <c r="J152" s="12">
        <v>121796</v>
      </c>
      <c r="K152" s="17">
        <v>35416</v>
      </c>
      <c r="L152" s="17">
        <v>35400</v>
      </c>
      <c r="M152" s="30">
        <v>35411</v>
      </c>
      <c r="N152" s="17">
        <v>35400</v>
      </c>
      <c r="O152" s="14">
        <v>0</v>
      </c>
      <c r="P152" s="18">
        <v>5.25</v>
      </c>
      <c r="Q152" s="20">
        <v>1.9</v>
      </c>
      <c r="R152" s="20">
        <v>2.5</v>
      </c>
      <c r="S152" s="20">
        <v>3.2</v>
      </c>
      <c r="T152" s="20">
        <v>2.2999999999999998</v>
      </c>
      <c r="U152" s="20">
        <v>2.2999999999999998</v>
      </c>
      <c r="V152" s="19">
        <v>0</v>
      </c>
      <c r="W152" s="19">
        <v>0</v>
      </c>
      <c r="X152" s="19">
        <v>0.3</v>
      </c>
      <c r="Y152" s="19">
        <v>-0.1</v>
      </c>
      <c r="Z152" s="20">
        <v>2.2999999999999998</v>
      </c>
      <c r="AA152" s="20">
        <v>2.2999999999999998</v>
      </c>
      <c r="AB152" s="20">
        <v>2.1</v>
      </c>
      <c r="AC152" s="20">
        <v>2.2999999999999998</v>
      </c>
      <c r="AD152" s="20">
        <v>2.2999999999999998</v>
      </c>
      <c r="AE152" s="19">
        <v>-0.2</v>
      </c>
      <c r="AF152" s="19">
        <v>0.5</v>
      </c>
      <c r="AG152" s="19">
        <v>-0.3</v>
      </c>
      <c r="AH152" s="19">
        <v>0.1</v>
      </c>
      <c r="AI152" s="15">
        <v>5.2</v>
      </c>
      <c r="AJ152" s="15">
        <v>5.3</v>
      </c>
      <c r="AK152" s="15">
        <v>5.2</v>
      </c>
      <c r="AL152" s="15">
        <v>5.2</v>
      </c>
      <c r="AM152" s="15">
        <v>5.2</v>
      </c>
      <c r="AN152" s="19">
        <v>0</v>
      </c>
      <c r="AO152" s="19">
        <v>0.1</v>
      </c>
      <c r="AP152" s="19">
        <v>0</v>
      </c>
      <c r="AQ152" s="19">
        <v>0</v>
      </c>
    </row>
    <row r="153" spans="2:43">
      <c r="B153">
        <f t="shared" si="361"/>
        <v>1997</v>
      </c>
      <c r="C153">
        <f t="shared" si="362"/>
        <v>2</v>
      </c>
      <c r="D153" s="21">
        <v>35466</v>
      </c>
      <c r="E153" s="21">
        <v>35459</v>
      </c>
      <c r="F153" s="65">
        <v>1</v>
      </c>
      <c r="G153" s="65">
        <v>0</v>
      </c>
      <c r="H153" s="64">
        <v>0</v>
      </c>
      <c r="I153" s="23">
        <v>1.8378337222980198E-2</v>
      </c>
      <c r="J153" s="46">
        <v>20597</v>
      </c>
      <c r="K153" s="21">
        <v>35466</v>
      </c>
      <c r="L153" s="21">
        <v>35490</v>
      </c>
      <c r="M153" s="21">
        <v>35459</v>
      </c>
      <c r="N153" s="22">
        <v>35490</v>
      </c>
      <c r="O153" s="23">
        <v>0</v>
      </c>
      <c r="P153" s="23">
        <v>5.25</v>
      </c>
      <c r="Q153" s="66">
        <v>2.5</v>
      </c>
      <c r="R153" s="66">
        <v>3.2</v>
      </c>
      <c r="S153" s="66">
        <v>2.7</v>
      </c>
      <c r="T153" s="66">
        <v>2.2000000000000002</v>
      </c>
      <c r="U153" s="66">
        <v>2.2999999999999998</v>
      </c>
      <c r="V153" s="19">
        <v>0</v>
      </c>
      <c r="W153" s="19">
        <v>0</v>
      </c>
      <c r="X153" s="19">
        <v>0.4</v>
      </c>
      <c r="Y153" s="19">
        <v>-0.1</v>
      </c>
      <c r="Z153" s="66">
        <v>3.5</v>
      </c>
      <c r="AA153" s="66">
        <v>1.7</v>
      </c>
      <c r="AB153" s="66">
        <v>2.4</v>
      </c>
      <c r="AC153" s="66">
        <v>2.4</v>
      </c>
      <c r="AD153" s="66">
        <v>2.4</v>
      </c>
      <c r="AE153" s="19">
        <v>1.2</v>
      </c>
      <c r="AF153" s="19">
        <v>-0.4</v>
      </c>
      <c r="AG153" s="19">
        <v>0.1</v>
      </c>
      <c r="AH153" s="19">
        <v>0.1</v>
      </c>
      <c r="AI153" s="66">
        <v>5.3</v>
      </c>
      <c r="AJ153" s="66">
        <v>5.2</v>
      </c>
      <c r="AK153" s="66">
        <v>5.0999999999999996</v>
      </c>
      <c r="AL153" s="66">
        <v>5.0999999999999996</v>
      </c>
      <c r="AM153" s="66">
        <v>5.0999999999999996</v>
      </c>
      <c r="AN153" s="19">
        <v>0</v>
      </c>
      <c r="AO153" s="19">
        <v>0</v>
      </c>
      <c r="AP153" s="19">
        <v>-0.1</v>
      </c>
      <c r="AQ153" s="19">
        <v>-0.1</v>
      </c>
    </row>
    <row r="154" spans="2:43">
      <c r="B154">
        <f t="shared" si="361"/>
        <v>1997</v>
      </c>
      <c r="C154">
        <f t="shared" si="362"/>
        <v>3</v>
      </c>
      <c r="D154" s="7">
        <v>35514</v>
      </c>
      <c r="E154" s="6">
        <v>35508</v>
      </c>
      <c r="F154" s="4">
        <v>1</v>
      </c>
      <c r="G154" s="4">
        <v>0</v>
      </c>
      <c r="H154" s="10">
        <v>0.04</v>
      </c>
      <c r="I154">
        <v>3.0613279563643001E-2</v>
      </c>
      <c r="J154" s="24">
        <v>32597</v>
      </c>
      <c r="K154" s="25">
        <v>35514</v>
      </c>
      <c r="L154" s="17">
        <v>35490</v>
      </c>
      <c r="M154" s="41">
        <v>35508</v>
      </c>
      <c r="N154" s="17">
        <v>35490</v>
      </c>
      <c r="O154" s="13">
        <v>0.25</v>
      </c>
      <c r="P154" s="26">
        <v>5.25</v>
      </c>
      <c r="Q154" s="20">
        <v>1.8</v>
      </c>
      <c r="R154" s="20">
        <v>3.1</v>
      </c>
      <c r="S154" s="20">
        <v>2.5</v>
      </c>
      <c r="T154" s="20">
        <v>2.2000000000000002</v>
      </c>
      <c r="U154" s="20">
        <v>2.2000000000000002</v>
      </c>
      <c r="V154" s="19">
        <v>-0.7</v>
      </c>
      <c r="W154" s="19">
        <v>-0.1</v>
      </c>
      <c r="X154" s="19">
        <v>-0.2</v>
      </c>
      <c r="Y154" s="19">
        <v>0</v>
      </c>
      <c r="Z154" s="20">
        <v>4.3</v>
      </c>
      <c r="AA154" s="20">
        <v>3.4</v>
      </c>
      <c r="AB154" s="20">
        <v>2.9</v>
      </c>
      <c r="AC154" s="20">
        <v>2.5</v>
      </c>
      <c r="AD154" s="20">
        <v>2.4</v>
      </c>
      <c r="AE154" s="19">
        <v>0.8</v>
      </c>
      <c r="AF154" s="19">
        <v>1.7</v>
      </c>
      <c r="AG154" s="19">
        <v>0.5</v>
      </c>
      <c r="AH154" s="19">
        <v>0.1</v>
      </c>
      <c r="AI154" s="15">
        <v>5.3</v>
      </c>
      <c r="AJ154" s="15">
        <v>5.3</v>
      </c>
      <c r="AK154" s="15">
        <v>5.0999999999999996</v>
      </c>
      <c r="AL154" s="15">
        <v>5</v>
      </c>
      <c r="AM154" s="15">
        <v>5</v>
      </c>
      <c r="AN154" s="19">
        <v>0</v>
      </c>
      <c r="AO154" s="19">
        <v>0.1</v>
      </c>
      <c r="AP154" s="19">
        <v>0</v>
      </c>
      <c r="AQ154" s="19">
        <v>-0.1</v>
      </c>
    </row>
    <row r="155" spans="2:43">
      <c r="B155">
        <f t="shared" si="361"/>
        <v>1997</v>
      </c>
      <c r="C155">
        <f t="shared" si="362"/>
        <v>5</v>
      </c>
      <c r="D155" s="7">
        <v>35570</v>
      </c>
      <c r="E155" s="6">
        <v>35565</v>
      </c>
      <c r="F155" s="4">
        <v>1</v>
      </c>
      <c r="G155" s="4">
        <v>0</v>
      </c>
      <c r="H155" s="10">
        <v>-0.09</v>
      </c>
      <c r="I155">
        <v>-5.6750047597013603E-2</v>
      </c>
      <c r="J155" s="24">
        <v>52097</v>
      </c>
      <c r="K155" s="27">
        <v>35570</v>
      </c>
      <c r="L155" s="17">
        <v>35582</v>
      </c>
      <c r="M155" s="29">
        <v>35565</v>
      </c>
      <c r="N155" s="17">
        <v>35582</v>
      </c>
      <c r="O155" s="13">
        <v>0</v>
      </c>
      <c r="P155" s="26">
        <v>5.5</v>
      </c>
      <c r="Q155" s="20">
        <v>2.8</v>
      </c>
      <c r="R155" s="20">
        <v>2.1</v>
      </c>
      <c r="S155" s="20">
        <v>2.2999999999999998</v>
      </c>
      <c r="T155" s="20">
        <v>2.4</v>
      </c>
      <c r="U155" s="20">
        <v>2.6</v>
      </c>
      <c r="V155" s="19">
        <v>-0.3</v>
      </c>
      <c r="W155" s="19">
        <v>-0.4</v>
      </c>
      <c r="X155" s="19">
        <v>0.1</v>
      </c>
      <c r="Y155" s="19">
        <v>0.2</v>
      </c>
      <c r="Z155" s="20">
        <v>6</v>
      </c>
      <c r="AA155" s="20">
        <v>1.8</v>
      </c>
      <c r="AB155" s="20">
        <v>2.5</v>
      </c>
      <c r="AC155" s="20">
        <v>2.2999999999999998</v>
      </c>
      <c r="AD155" s="20">
        <v>2.1</v>
      </c>
      <c r="AE155" s="19">
        <v>2.6</v>
      </c>
      <c r="AF155" s="19">
        <v>-1.1000000000000001</v>
      </c>
      <c r="AG155" s="19">
        <v>0</v>
      </c>
      <c r="AH155" s="19">
        <v>-0.1</v>
      </c>
      <c r="AI155" s="15">
        <v>5.3</v>
      </c>
      <c r="AJ155" s="15">
        <v>5</v>
      </c>
      <c r="AK155" s="15">
        <v>4.9000000000000004</v>
      </c>
      <c r="AL155" s="15">
        <v>4.8</v>
      </c>
      <c r="AM155" s="15">
        <v>4.8</v>
      </c>
      <c r="AN155" s="19">
        <v>0</v>
      </c>
      <c r="AO155" s="19">
        <v>-0.1</v>
      </c>
      <c r="AP155" s="19">
        <v>-0.1</v>
      </c>
      <c r="AQ155" s="19">
        <v>-0.2</v>
      </c>
    </row>
    <row r="156" spans="2:43">
      <c r="B156">
        <f t="shared" si="361"/>
        <v>1997</v>
      </c>
      <c r="C156">
        <f t="shared" si="362"/>
        <v>7</v>
      </c>
      <c r="D156" s="7">
        <v>35613</v>
      </c>
      <c r="E156" s="6">
        <v>35606</v>
      </c>
      <c r="F156" s="4">
        <v>1</v>
      </c>
      <c r="G156" s="4">
        <v>0</v>
      </c>
      <c r="H156" s="10">
        <v>-0.02</v>
      </c>
      <c r="I156">
        <v>-2.3429621296674301E-2</v>
      </c>
      <c r="J156" s="24">
        <v>70297</v>
      </c>
      <c r="K156" s="27">
        <v>35613</v>
      </c>
      <c r="L156" s="17">
        <v>35674</v>
      </c>
      <c r="M156" s="29">
        <v>35606</v>
      </c>
      <c r="N156" s="17">
        <v>35582</v>
      </c>
      <c r="O156" s="13">
        <v>0</v>
      </c>
      <c r="P156" s="26">
        <v>5.5</v>
      </c>
      <c r="Q156" s="20">
        <v>2.8</v>
      </c>
      <c r="R156" s="20">
        <v>1.9</v>
      </c>
      <c r="S156" s="20">
        <v>2.1</v>
      </c>
      <c r="T156" s="20">
        <v>2.2000000000000002</v>
      </c>
      <c r="U156" s="20">
        <v>2.5</v>
      </c>
      <c r="V156" s="19">
        <v>0</v>
      </c>
      <c r="W156" s="19">
        <v>-0.2</v>
      </c>
      <c r="X156" s="19">
        <v>-0.2</v>
      </c>
      <c r="Y156" s="19">
        <v>-0.2</v>
      </c>
      <c r="Z156" s="20">
        <v>5.8</v>
      </c>
      <c r="AA156" s="20">
        <v>2.2000000000000002</v>
      </c>
      <c r="AB156" s="20">
        <v>2.9</v>
      </c>
      <c r="AC156" s="20">
        <v>2.8</v>
      </c>
      <c r="AD156" s="20">
        <v>2.5</v>
      </c>
      <c r="AE156" s="19">
        <v>-0.2</v>
      </c>
      <c r="AF156" s="19">
        <v>0.4</v>
      </c>
      <c r="AG156" s="19">
        <v>0.4</v>
      </c>
      <c r="AH156" s="19">
        <v>0.5</v>
      </c>
      <c r="AI156" s="15">
        <v>5.3</v>
      </c>
      <c r="AJ156" s="15">
        <v>4.9000000000000004</v>
      </c>
      <c r="AK156" s="15">
        <v>4.8</v>
      </c>
      <c r="AL156" s="15">
        <v>4.7</v>
      </c>
      <c r="AM156" s="15">
        <v>4.5999999999999996</v>
      </c>
      <c r="AN156" s="19">
        <v>0</v>
      </c>
      <c r="AO156" s="19">
        <v>-0.1</v>
      </c>
      <c r="AP156" s="19">
        <v>-0.1</v>
      </c>
      <c r="AQ156" s="19">
        <v>-0.1</v>
      </c>
    </row>
    <row r="157" spans="2:43">
      <c r="B157">
        <f t="shared" si="361"/>
        <v>1997</v>
      </c>
      <c r="C157">
        <f t="shared" si="362"/>
        <v>8</v>
      </c>
      <c r="D157" s="7">
        <v>35661</v>
      </c>
      <c r="E157" s="6">
        <v>35656</v>
      </c>
      <c r="F157" s="4">
        <v>1</v>
      </c>
      <c r="G157" s="4">
        <v>0</v>
      </c>
      <c r="H157" s="10">
        <v>0.01</v>
      </c>
      <c r="I157">
        <v>3.87335953043247E-2</v>
      </c>
      <c r="J157" s="24">
        <v>81997</v>
      </c>
      <c r="K157" s="27">
        <v>35661</v>
      </c>
      <c r="L157" s="17">
        <v>35674</v>
      </c>
      <c r="M157" s="29">
        <v>35656</v>
      </c>
      <c r="N157" s="17">
        <v>35674</v>
      </c>
      <c r="O157" s="13">
        <v>0</v>
      </c>
      <c r="P157" s="26">
        <v>5.5</v>
      </c>
      <c r="Q157" s="20">
        <v>1.5</v>
      </c>
      <c r="R157" s="20">
        <v>1.9</v>
      </c>
      <c r="S157" s="20">
        <v>2.1</v>
      </c>
      <c r="T157" s="20">
        <v>2.2999999999999998</v>
      </c>
      <c r="U157" s="20">
        <v>2.2999999999999998</v>
      </c>
      <c r="V157" s="19">
        <v>-0.4</v>
      </c>
      <c r="W157" s="19">
        <v>-0.2</v>
      </c>
      <c r="X157" s="19">
        <v>-0.1</v>
      </c>
      <c r="Y157" s="19">
        <v>-0.2</v>
      </c>
      <c r="Z157" s="20">
        <v>2.6</v>
      </c>
      <c r="AA157" s="20">
        <v>2.2000000000000002</v>
      </c>
      <c r="AB157" s="20">
        <v>2.4</v>
      </c>
      <c r="AC157" s="20">
        <v>2.2999999999999998</v>
      </c>
      <c r="AD157" s="20">
        <v>2.1</v>
      </c>
      <c r="AE157" s="19">
        <v>0.4</v>
      </c>
      <c r="AF157" s="19">
        <v>-0.7</v>
      </c>
      <c r="AG157" s="19">
        <v>-0.4</v>
      </c>
      <c r="AH157" s="19">
        <v>-0.2</v>
      </c>
      <c r="AI157" s="15">
        <v>4.9000000000000004</v>
      </c>
      <c r="AJ157" s="15">
        <v>4.8</v>
      </c>
      <c r="AK157" s="15">
        <v>4.7</v>
      </c>
      <c r="AL157" s="15">
        <v>4.7</v>
      </c>
      <c r="AM157" s="15">
        <v>4.7</v>
      </c>
      <c r="AN157" s="19">
        <v>0</v>
      </c>
      <c r="AO157" s="19">
        <v>0</v>
      </c>
      <c r="AP157" s="19">
        <v>0</v>
      </c>
      <c r="AQ157" s="19">
        <v>0.1</v>
      </c>
    </row>
    <row r="158" spans="2:43">
      <c r="B158">
        <f t="shared" si="361"/>
        <v>1997</v>
      </c>
      <c r="C158">
        <f t="shared" si="362"/>
        <v>9</v>
      </c>
      <c r="D158" s="7">
        <v>35703</v>
      </c>
      <c r="E158" s="6">
        <v>35697</v>
      </c>
      <c r="F158" s="4">
        <v>1</v>
      </c>
      <c r="G158" s="4">
        <v>0</v>
      </c>
      <c r="H158" s="10">
        <v>0</v>
      </c>
      <c r="I158">
        <v>1.2551398038374101E-2</v>
      </c>
      <c r="J158" s="24">
        <v>93097</v>
      </c>
      <c r="K158" s="27">
        <v>35703</v>
      </c>
      <c r="L158" s="17">
        <v>35674</v>
      </c>
      <c r="M158" s="29">
        <v>35697</v>
      </c>
      <c r="N158" s="17">
        <v>35674</v>
      </c>
      <c r="O158" s="13">
        <v>0</v>
      </c>
      <c r="P158" s="26">
        <v>5.5</v>
      </c>
      <c r="Q158" s="20">
        <v>1.6</v>
      </c>
      <c r="R158" s="20">
        <v>1.5</v>
      </c>
      <c r="S158" s="20">
        <v>2</v>
      </c>
      <c r="T158" s="20">
        <v>2.2000000000000002</v>
      </c>
      <c r="U158" s="20">
        <v>2.1</v>
      </c>
      <c r="V158" s="19">
        <v>0.1</v>
      </c>
      <c r="W158" s="19">
        <v>-0.4</v>
      </c>
      <c r="X158" s="19">
        <v>-0.1</v>
      </c>
      <c r="Y158" s="19">
        <v>-0.1</v>
      </c>
      <c r="Z158" s="20">
        <v>3.6</v>
      </c>
      <c r="AA158" s="20">
        <v>2.8</v>
      </c>
      <c r="AB158" s="20">
        <v>3</v>
      </c>
      <c r="AC158" s="20">
        <v>3</v>
      </c>
      <c r="AD158" s="20">
        <v>2.6</v>
      </c>
      <c r="AE158" s="19">
        <v>1</v>
      </c>
      <c r="AF158" s="19">
        <v>0.6</v>
      </c>
      <c r="AG158" s="19">
        <v>0.6</v>
      </c>
      <c r="AH158" s="19">
        <v>0.7</v>
      </c>
      <c r="AI158" s="15">
        <v>4.9000000000000004</v>
      </c>
      <c r="AJ158" s="15">
        <v>4.8</v>
      </c>
      <c r="AK158" s="15">
        <v>4.7</v>
      </c>
      <c r="AL158" s="15">
        <v>4.5999999999999996</v>
      </c>
      <c r="AM158" s="15">
        <v>4.5</v>
      </c>
      <c r="AN158" s="19">
        <v>0</v>
      </c>
      <c r="AO158" s="19">
        <v>0</v>
      </c>
      <c r="AP158" s="19">
        <v>0</v>
      </c>
      <c r="AQ158" s="19">
        <v>-0.1</v>
      </c>
    </row>
    <row r="159" spans="2:43">
      <c r="B159">
        <f t="shared" si="361"/>
        <v>1997</v>
      </c>
      <c r="C159">
        <f t="shared" si="362"/>
        <v>11</v>
      </c>
      <c r="D159" s="7">
        <v>35746</v>
      </c>
      <c r="E159" s="6">
        <v>35740</v>
      </c>
      <c r="F159" s="4">
        <v>1</v>
      </c>
      <c r="G159" s="4">
        <v>0</v>
      </c>
      <c r="H159" s="10">
        <v>0</v>
      </c>
      <c r="I159">
        <v>3.95736491777318E-3</v>
      </c>
      <c r="J159" s="24">
        <v>111297</v>
      </c>
      <c r="K159" s="27">
        <v>35746</v>
      </c>
      <c r="L159" s="17">
        <v>35765</v>
      </c>
      <c r="M159" s="29">
        <v>35740</v>
      </c>
      <c r="N159" s="17">
        <v>35765</v>
      </c>
      <c r="O159" s="13">
        <v>0</v>
      </c>
      <c r="P159" s="26">
        <v>5.5</v>
      </c>
      <c r="Q159" s="20">
        <v>1.4</v>
      </c>
      <c r="R159" s="20">
        <v>1.7</v>
      </c>
      <c r="S159" s="20">
        <v>2.2000000000000002</v>
      </c>
      <c r="T159" s="20">
        <v>2</v>
      </c>
      <c r="U159" s="20">
        <v>2</v>
      </c>
      <c r="V159" s="19">
        <v>-0.1</v>
      </c>
      <c r="W159" s="19">
        <v>-0.3</v>
      </c>
      <c r="X159" s="19">
        <v>0</v>
      </c>
      <c r="Y159" s="19">
        <v>-0.1</v>
      </c>
      <c r="Z159" s="20">
        <v>3.5</v>
      </c>
      <c r="AA159" s="20">
        <v>3.5</v>
      </c>
      <c r="AB159" s="20">
        <v>2.7</v>
      </c>
      <c r="AC159" s="20">
        <v>2.5</v>
      </c>
      <c r="AD159" s="20">
        <v>2</v>
      </c>
      <c r="AE159" s="19">
        <v>0.7</v>
      </c>
      <c r="AF159" s="19">
        <v>0.5</v>
      </c>
      <c r="AG159" s="19">
        <v>-0.3</v>
      </c>
      <c r="AH159" s="19">
        <v>-0.1</v>
      </c>
      <c r="AI159" s="15">
        <v>4.9000000000000004</v>
      </c>
      <c r="AJ159" s="15">
        <v>4.8</v>
      </c>
      <c r="AK159" s="15">
        <v>4.7</v>
      </c>
      <c r="AL159" s="15">
        <v>4.5999999999999996</v>
      </c>
      <c r="AM159" s="15">
        <v>4.5999999999999996</v>
      </c>
      <c r="AN159" s="19">
        <v>0.1</v>
      </c>
      <c r="AO159" s="19">
        <v>0.1</v>
      </c>
      <c r="AP159" s="19">
        <v>0.1</v>
      </c>
      <c r="AQ159" s="19">
        <v>0.1</v>
      </c>
    </row>
    <row r="160" spans="2:43">
      <c r="B160">
        <f t="shared" si="361"/>
        <v>1997</v>
      </c>
      <c r="C160">
        <f t="shared" si="362"/>
        <v>12</v>
      </c>
      <c r="D160" s="7">
        <v>35780</v>
      </c>
      <c r="E160" s="6">
        <v>35775</v>
      </c>
      <c r="F160" s="4">
        <v>1</v>
      </c>
      <c r="G160" s="4">
        <v>0</v>
      </c>
      <c r="H160" s="10">
        <v>-0.01</v>
      </c>
      <c r="I160">
        <v>-1.12221423371209E-4</v>
      </c>
      <c r="J160" s="24">
        <v>121697</v>
      </c>
      <c r="K160" s="27">
        <v>35780</v>
      </c>
      <c r="L160" s="17">
        <v>35765</v>
      </c>
      <c r="M160" s="29">
        <v>35775</v>
      </c>
      <c r="N160" s="17">
        <v>35765</v>
      </c>
      <c r="O160" s="13">
        <v>0</v>
      </c>
      <c r="P160" s="26">
        <v>5.5</v>
      </c>
      <c r="Q160" s="20">
        <v>1.5</v>
      </c>
      <c r="R160" s="20">
        <v>1.9</v>
      </c>
      <c r="S160" s="20">
        <v>2.2000000000000002</v>
      </c>
      <c r="T160" s="20">
        <v>1.7</v>
      </c>
      <c r="U160" s="20">
        <v>1.6</v>
      </c>
      <c r="V160" s="19">
        <v>0.1</v>
      </c>
      <c r="W160" s="19">
        <v>0.2</v>
      </c>
      <c r="X160" s="19">
        <v>0</v>
      </c>
      <c r="Y160" s="19">
        <v>-0.3</v>
      </c>
      <c r="Z160" s="20">
        <v>3.4</v>
      </c>
      <c r="AA160" s="20">
        <v>3.9</v>
      </c>
      <c r="AB160" s="20">
        <v>2</v>
      </c>
      <c r="AC160" s="20">
        <v>1.7</v>
      </c>
      <c r="AD160" s="20">
        <v>1.6</v>
      </c>
      <c r="AE160" s="19">
        <v>-0.1</v>
      </c>
      <c r="AF160" s="19">
        <v>0.4</v>
      </c>
      <c r="AG160" s="19">
        <v>-0.7</v>
      </c>
      <c r="AH160" s="19">
        <v>-0.8</v>
      </c>
      <c r="AI160" s="15">
        <v>4.9000000000000004</v>
      </c>
      <c r="AJ160" s="15">
        <v>4.5999999999999996</v>
      </c>
      <c r="AK160" s="15">
        <v>4.5999999999999996</v>
      </c>
      <c r="AL160" s="15">
        <v>4.5999999999999996</v>
      </c>
      <c r="AM160" s="15">
        <v>4.7</v>
      </c>
      <c r="AN160" s="19">
        <v>0</v>
      </c>
      <c r="AO160" s="19">
        <v>-0.2</v>
      </c>
      <c r="AP160" s="19">
        <v>-0.1</v>
      </c>
      <c r="AQ160" s="19">
        <v>0</v>
      </c>
    </row>
    <row r="161" spans="2:43">
      <c r="B161">
        <f t="shared" si="361"/>
        <v>1998</v>
      </c>
      <c r="C161">
        <f t="shared" si="362"/>
        <v>2</v>
      </c>
      <c r="D161" s="7">
        <v>35830</v>
      </c>
      <c r="E161" s="6">
        <v>35823</v>
      </c>
      <c r="F161" s="4">
        <v>1</v>
      </c>
      <c r="G161" s="4">
        <v>0</v>
      </c>
      <c r="H161" s="10">
        <v>0</v>
      </c>
      <c r="I161">
        <v>6.8844651350374502E-3</v>
      </c>
      <c r="J161" s="24">
        <v>20498</v>
      </c>
      <c r="K161" s="27">
        <v>35830</v>
      </c>
      <c r="L161" s="17">
        <v>35855</v>
      </c>
      <c r="M161" s="29">
        <v>35823</v>
      </c>
      <c r="N161" s="17">
        <v>35855</v>
      </c>
      <c r="O161" s="13">
        <v>0</v>
      </c>
      <c r="P161" s="26">
        <v>5.5</v>
      </c>
      <c r="Q161" s="20">
        <v>1.9</v>
      </c>
      <c r="R161" s="20">
        <v>1.8</v>
      </c>
      <c r="S161" s="20">
        <v>1.6</v>
      </c>
      <c r="T161" s="20">
        <v>1.6</v>
      </c>
      <c r="U161" s="20">
        <v>1.7</v>
      </c>
      <c r="V161" s="19">
        <v>0</v>
      </c>
      <c r="W161" s="19">
        <v>-0.4</v>
      </c>
      <c r="X161" s="19">
        <v>-0.1</v>
      </c>
      <c r="Y161" s="19">
        <v>0</v>
      </c>
      <c r="Z161" s="20">
        <v>3.9</v>
      </c>
      <c r="AA161" s="20">
        <v>2.7</v>
      </c>
      <c r="AB161" s="20">
        <v>1</v>
      </c>
      <c r="AC161" s="20">
        <v>1.5</v>
      </c>
      <c r="AD161" s="20">
        <v>1.7</v>
      </c>
      <c r="AE161" s="19">
        <v>0</v>
      </c>
      <c r="AF161" s="19">
        <v>0.7</v>
      </c>
      <c r="AG161" s="19">
        <v>-0.7</v>
      </c>
      <c r="AH161" s="19">
        <v>-0.1</v>
      </c>
      <c r="AI161" s="15">
        <v>4.7</v>
      </c>
      <c r="AJ161" s="15">
        <v>4.5999999999999996</v>
      </c>
      <c r="AK161" s="15">
        <v>4.7</v>
      </c>
      <c r="AL161" s="15">
        <v>4.7</v>
      </c>
      <c r="AM161" s="15">
        <v>4.8</v>
      </c>
      <c r="AN161" s="19">
        <v>0.1</v>
      </c>
      <c r="AO161" s="19">
        <v>0</v>
      </c>
      <c r="AP161" s="19">
        <v>0.1</v>
      </c>
      <c r="AQ161" s="19">
        <v>0</v>
      </c>
    </row>
    <row r="162" spans="2:43">
      <c r="B162">
        <f t="shared" si="361"/>
        <v>1998</v>
      </c>
      <c r="C162">
        <f t="shared" si="362"/>
        <v>3</v>
      </c>
      <c r="D162" s="7">
        <v>35885</v>
      </c>
      <c r="E162" s="6">
        <v>35879</v>
      </c>
      <c r="F162" s="4">
        <v>1</v>
      </c>
      <c r="G162" s="4">
        <v>0</v>
      </c>
      <c r="H162" s="10">
        <v>0</v>
      </c>
      <c r="I162">
        <v>-8.9473262308462902E-3</v>
      </c>
      <c r="J162" s="24">
        <v>33198</v>
      </c>
      <c r="K162" s="27">
        <v>35885</v>
      </c>
      <c r="L162" s="17">
        <v>35855</v>
      </c>
      <c r="M162" s="29">
        <v>35879</v>
      </c>
      <c r="N162" s="17">
        <v>35855</v>
      </c>
      <c r="O162" s="13">
        <v>0</v>
      </c>
      <c r="P162" s="26">
        <v>5.5</v>
      </c>
      <c r="Q162" s="20">
        <v>1.5</v>
      </c>
      <c r="R162" s="20">
        <v>1.4</v>
      </c>
      <c r="S162" s="20">
        <v>1.5</v>
      </c>
      <c r="T162" s="20">
        <v>1.8</v>
      </c>
      <c r="U162" s="20">
        <v>1.8</v>
      </c>
      <c r="V162" s="19">
        <v>-0.4</v>
      </c>
      <c r="W162" s="19">
        <v>-0.4</v>
      </c>
      <c r="X162" s="19">
        <v>-0.1</v>
      </c>
      <c r="Y162" s="19">
        <v>0.2</v>
      </c>
      <c r="Z162" s="20">
        <v>3.9</v>
      </c>
      <c r="AA162" s="20">
        <v>3.1</v>
      </c>
      <c r="AB162" s="20">
        <v>2.1</v>
      </c>
      <c r="AC162" s="20">
        <v>2</v>
      </c>
      <c r="AD162" s="20">
        <v>2</v>
      </c>
      <c r="AE162" s="19">
        <v>0</v>
      </c>
      <c r="AF162" s="19">
        <v>0.4</v>
      </c>
      <c r="AG162" s="19">
        <v>1.1000000000000001</v>
      </c>
      <c r="AH162" s="19">
        <v>0.5</v>
      </c>
      <c r="AI162" s="15">
        <v>4.7</v>
      </c>
      <c r="AJ162" s="15">
        <v>4.5999999999999996</v>
      </c>
      <c r="AK162" s="15">
        <v>4.5999999999999996</v>
      </c>
      <c r="AL162" s="15">
        <v>4.5999999999999996</v>
      </c>
      <c r="AM162" s="15">
        <v>4.7</v>
      </c>
      <c r="AN162" s="19">
        <v>0</v>
      </c>
      <c r="AO162" s="19">
        <v>0</v>
      </c>
      <c r="AP162" s="19">
        <v>-0.1</v>
      </c>
      <c r="AQ162" s="19">
        <v>-0.1</v>
      </c>
    </row>
    <row r="163" spans="2:43">
      <c r="B163">
        <f t="shared" si="361"/>
        <v>1998</v>
      </c>
      <c r="C163">
        <f t="shared" si="362"/>
        <v>5</v>
      </c>
      <c r="D163" s="7">
        <v>35934</v>
      </c>
      <c r="E163" s="6">
        <v>35929</v>
      </c>
      <c r="F163" s="4">
        <v>1</v>
      </c>
      <c r="G163" s="4">
        <v>0</v>
      </c>
      <c r="H163" s="10">
        <v>-0.01</v>
      </c>
      <c r="I163">
        <v>3.0562788521843898E-3</v>
      </c>
      <c r="J163" s="24">
        <v>51998</v>
      </c>
      <c r="K163" s="27">
        <v>35934</v>
      </c>
      <c r="L163" s="17">
        <v>35947</v>
      </c>
      <c r="M163" s="29">
        <v>35929</v>
      </c>
      <c r="N163" s="17">
        <v>35947</v>
      </c>
      <c r="O163" s="13">
        <v>0</v>
      </c>
      <c r="P163" s="26">
        <v>5.5</v>
      </c>
      <c r="Q163" s="20">
        <v>0.9</v>
      </c>
      <c r="R163" s="20">
        <v>1.6</v>
      </c>
      <c r="S163" s="20">
        <v>1.7</v>
      </c>
      <c r="T163" s="20">
        <v>1.7</v>
      </c>
      <c r="U163" s="20">
        <v>1.9</v>
      </c>
      <c r="V163" s="19">
        <v>-0.5</v>
      </c>
      <c r="W163" s="19">
        <v>0.1</v>
      </c>
      <c r="X163" s="19">
        <v>-0.1</v>
      </c>
      <c r="Y163" s="19">
        <v>-0.1</v>
      </c>
      <c r="Z163" s="20">
        <v>5.2</v>
      </c>
      <c r="AA163" s="20">
        <v>2.5</v>
      </c>
      <c r="AB163" s="20">
        <v>1.8</v>
      </c>
      <c r="AC163" s="20">
        <v>1.8</v>
      </c>
      <c r="AD163" s="20">
        <v>2</v>
      </c>
      <c r="AE163" s="19">
        <v>2.1</v>
      </c>
      <c r="AF163" s="19">
        <v>0.4</v>
      </c>
      <c r="AG163" s="19">
        <v>-0.2</v>
      </c>
      <c r="AH163" s="19">
        <v>-0.2</v>
      </c>
      <c r="AI163" s="15">
        <v>4.7</v>
      </c>
      <c r="AJ163" s="15">
        <v>4.4000000000000004</v>
      </c>
      <c r="AK163" s="15">
        <v>4.5</v>
      </c>
      <c r="AL163" s="15">
        <v>4.5</v>
      </c>
      <c r="AM163" s="15">
        <v>4.5999999999999996</v>
      </c>
      <c r="AN163" s="19">
        <v>0.1</v>
      </c>
      <c r="AO163" s="19">
        <v>-0.2</v>
      </c>
      <c r="AP163" s="19">
        <v>-0.1</v>
      </c>
      <c r="AQ163" s="19">
        <v>-0.2</v>
      </c>
    </row>
    <row r="164" spans="2:43">
      <c r="B164">
        <f t="shared" si="361"/>
        <v>1998</v>
      </c>
      <c r="C164">
        <f t="shared" si="362"/>
        <v>7</v>
      </c>
      <c r="D164" s="7">
        <v>35977</v>
      </c>
      <c r="E164" s="6">
        <v>35970</v>
      </c>
      <c r="F164" s="4">
        <v>1</v>
      </c>
      <c r="G164" s="4">
        <v>0</v>
      </c>
      <c r="H164" s="10">
        <v>9.9900000000000006E-3</v>
      </c>
      <c r="I164">
        <v>1.7879862706279399E-2</v>
      </c>
      <c r="J164" s="24">
        <v>70198</v>
      </c>
      <c r="K164" s="27">
        <v>35977</v>
      </c>
      <c r="L164" s="17">
        <v>36039</v>
      </c>
      <c r="M164" s="29">
        <v>35970</v>
      </c>
      <c r="N164" s="17">
        <v>35947</v>
      </c>
      <c r="O164" s="13">
        <v>0</v>
      </c>
      <c r="P164" s="26">
        <v>5.5</v>
      </c>
      <c r="Q164" s="20">
        <v>1</v>
      </c>
      <c r="R164" s="20">
        <v>1.7</v>
      </c>
      <c r="S164" s="20">
        <v>1.6</v>
      </c>
      <c r="T164" s="20">
        <v>1.7</v>
      </c>
      <c r="U164" s="20">
        <v>1.9</v>
      </c>
      <c r="V164" s="19">
        <v>0.1</v>
      </c>
      <c r="W164" s="19">
        <v>0.1</v>
      </c>
      <c r="X164" s="19">
        <v>-0.1</v>
      </c>
      <c r="Y164" s="19">
        <v>0</v>
      </c>
      <c r="Z164" s="20">
        <v>5.4</v>
      </c>
      <c r="AA164" s="20">
        <v>2</v>
      </c>
      <c r="AB164" s="20">
        <v>2</v>
      </c>
      <c r="AC164" s="20">
        <v>1.7</v>
      </c>
      <c r="AD164" s="20">
        <v>1.5</v>
      </c>
      <c r="AE164" s="19">
        <v>0.2</v>
      </c>
      <c r="AF164" s="19">
        <v>-0.5</v>
      </c>
      <c r="AG164" s="19">
        <v>0.2</v>
      </c>
      <c r="AH164" s="19">
        <v>-0.1</v>
      </c>
      <c r="AI164" s="15">
        <v>4.7</v>
      </c>
      <c r="AJ164" s="15">
        <v>4.3</v>
      </c>
      <c r="AK164" s="15">
        <v>4.3</v>
      </c>
      <c r="AL164" s="15">
        <v>4.4000000000000004</v>
      </c>
      <c r="AM164" s="15">
        <v>4.5999999999999996</v>
      </c>
      <c r="AN164" s="19">
        <v>0</v>
      </c>
      <c r="AO164" s="19">
        <v>-0.1</v>
      </c>
      <c r="AP164" s="19">
        <v>-0.2</v>
      </c>
      <c r="AQ164" s="19">
        <v>-0.1</v>
      </c>
    </row>
    <row r="165" spans="2:43">
      <c r="B165">
        <f t="shared" si="361"/>
        <v>1998</v>
      </c>
      <c r="C165">
        <f t="shared" si="362"/>
        <v>8</v>
      </c>
      <c r="D165" s="7">
        <v>36025</v>
      </c>
      <c r="E165" s="6">
        <v>36020</v>
      </c>
      <c r="F165" s="4">
        <v>1</v>
      </c>
      <c r="G165" s="4">
        <v>0</v>
      </c>
      <c r="H165" s="10">
        <v>0.01</v>
      </c>
      <c r="I165">
        <v>-8.7461837050702203E-3</v>
      </c>
      <c r="J165" s="24">
        <v>81898</v>
      </c>
      <c r="K165" s="27">
        <v>36025</v>
      </c>
      <c r="L165" s="17">
        <v>36039</v>
      </c>
      <c r="M165" s="29">
        <v>36020</v>
      </c>
      <c r="N165" s="17">
        <v>36039</v>
      </c>
      <c r="O165" s="13">
        <v>0</v>
      </c>
      <c r="P165" s="26">
        <v>5.5</v>
      </c>
      <c r="Q165" s="20">
        <v>0.9</v>
      </c>
      <c r="R165" s="20">
        <v>1.4</v>
      </c>
      <c r="S165" s="20">
        <v>1.4</v>
      </c>
      <c r="T165" s="20">
        <v>1.7</v>
      </c>
      <c r="U165" s="20">
        <v>1.4</v>
      </c>
      <c r="V165" s="19">
        <v>-0.8</v>
      </c>
      <c r="W165" s="19">
        <v>-0.2</v>
      </c>
      <c r="X165" s="19">
        <v>-0.3</v>
      </c>
      <c r="Y165" s="19">
        <v>-0.2</v>
      </c>
      <c r="Z165" s="20">
        <v>1.3</v>
      </c>
      <c r="AA165" s="20">
        <v>2.2000000000000002</v>
      </c>
      <c r="AB165" s="20">
        <v>2.5</v>
      </c>
      <c r="AC165" s="20">
        <v>1.2</v>
      </c>
      <c r="AD165" s="20">
        <v>1.4</v>
      </c>
      <c r="AE165" s="19">
        <v>-0.7</v>
      </c>
      <c r="AF165" s="19">
        <v>0.2</v>
      </c>
      <c r="AG165" s="19">
        <v>0.8</v>
      </c>
      <c r="AH165" s="19">
        <v>-0.3</v>
      </c>
      <c r="AI165" s="15">
        <v>4.4000000000000004</v>
      </c>
      <c r="AJ165" s="15">
        <v>4.5</v>
      </c>
      <c r="AK165" s="15">
        <v>4.5999999999999996</v>
      </c>
      <c r="AL165" s="15">
        <v>4.7</v>
      </c>
      <c r="AM165" s="15">
        <v>4.9000000000000004</v>
      </c>
      <c r="AN165" s="19">
        <v>0.1</v>
      </c>
      <c r="AO165" s="19">
        <v>0.2</v>
      </c>
      <c r="AP165" s="19">
        <v>0.2</v>
      </c>
      <c r="AQ165" s="19">
        <v>0.1</v>
      </c>
    </row>
    <row r="166" spans="2:43">
      <c r="B166">
        <f t="shared" si="361"/>
        <v>1998</v>
      </c>
      <c r="C166">
        <f t="shared" si="362"/>
        <v>9</v>
      </c>
      <c r="D166" s="7">
        <v>36067</v>
      </c>
      <c r="E166" s="6">
        <v>36061</v>
      </c>
      <c r="F166" s="4">
        <v>1</v>
      </c>
      <c r="G166" s="4">
        <v>0</v>
      </c>
      <c r="H166" s="10">
        <v>7.0000000000000007E-2</v>
      </c>
      <c r="I166">
        <v>7.4135463582341701E-2</v>
      </c>
      <c r="J166" s="24">
        <v>92998</v>
      </c>
      <c r="K166" s="27">
        <v>36067</v>
      </c>
      <c r="L166" s="17">
        <v>36039</v>
      </c>
      <c r="M166" s="29">
        <v>36061</v>
      </c>
      <c r="N166" s="17">
        <v>36039</v>
      </c>
      <c r="O166" s="13">
        <v>-0.25</v>
      </c>
      <c r="P166" s="26">
        <v>5.5</v>
      </c>
      <c r="Q166" s="20">
        <v>0.8</v>
      </c>
      <c r="R166" s="20">
        <v>1.5</v>
      </c>
      <c r="S166" s="20">
        <v>1</v>
      </c>
      <c r="T166" s="20">
        <v>1.8</v>
      </c>
      <c r="U166" s="20">
        <v>1.4</v>
      </c>
      <c r="V166" s="19">
        <v>-0.1</v>
      </c>
      <c r="W166" s="19">
        <v>0.1</v>
      </c>
      <c r="X166" s="19">
        <v>-0.4</v>
      </c>
      <c r="Y166" s="19">
        <v>0.1</v>
      </c>
      <c r="Z166" s="20">
        <v>1.9</v>
      </c>
      <c r="AA166" s="20">
        <v>2.6</v>
      </c>
      <c r="AB166" s="20">
        <v>2.6</v>
      </c>
      <c r="AC166" s="20">
        <v>0.9</v>
      </c>
      <c r="AD166" s="20">
        <v>0.9</v>
      </c>
      <c r="AE166" s="19">
        <v>0.6</v>
      </c>
      <c r="AF166" s="19">
        <v>0.4</v>
      </c>
      <c r="AG166" s="19">
        <v>0.1</v>
      </c>
      <c r="AH166" s="19">
        <v>-0.3</v>
      </c>
      <c r="AI166" s="15">
        <v>4.4000000000000004</v>
      </c>
      <c r="AJ166" s="15">
        <v>4.5</v>
      </c>
      <c r="AK166" s="15">
        <v>4.5</v>
      </c>
      <c r="AL166" s="15">
        <v>4.7</v>
      </c>
      <c r="AM166" s="15">
        <v>4.8</v>
      </c>
      <c r="AN166" s="19">
        <v>0</v>
      </c>
      <c r="AO166" s="19">
        <v>0</v>
      </c>
      <c r="AP166" s="19">
        <v>-0.1</v>
      </c>
      <c r="AQ166" s="19">
        <v>0</v>
      </c>
    </row>
    <row r="167" spans="2:43">
      <c r="B167">
        <f t="shared" si="361"/>
        <v>1998</v>
      </c>
      <c r="C167">
        <f t="shared" si="362"/>
        <v>10</v>
      </c>
      <c r="D167" s="7">
        <v>36083</v>
      </c>
      <c r="E167" s="67">
        <f>E166</f>
        <v>36061</v>
      </c>
      <c r="F167" s="4">
        <v>1</v>
      </c>
      <c r="G167" s="4">
        <v>1</v>
      </c>
      <c r="H167" s="10">
        <v>-0.25</v>
      </c>
      <c r="I167">
        <v>-0.25029698211717799</v>
      </c>
      <c r="J167" s="12" t="e">
        <f>NA()</f>
        <v>#N/A</v>
      </c>
      <c r="K167" s="17" t="e">
        <v>#N/A</v>
      </c>
      <c r="L167" s="17" t="e">
        <v>#N/A</v>
      </c>
      <c r="M167" s="30" t="e">
        <v>#N/A</v>
      </c>
      <c r="N167" s="17" t="e">
        <v>#N/A</v>
      </c>
      <c r="O167" s="14" t="e">
        <v>#N/A</v>
      </c>
      <c r="P167" s="18" t="e">
        <v>#N/A</v>
      </c>
      <c r="Q167" s="68">
        <f>R166</f>
        <v>1.5</v>
      </c>
      <c r="R167" s="68">
        <f>S166</f>
        <v>1</v>
      </c>
      <c r="S167" s="68">
        <f t="shared" ref="S167" si="363">T166</f>
        <v>1.8</v>
      </c>
      <c r="T167" s="68">
        <f>U166</f>
        <v>1.4</v>
      </c>
      <c r="U167" s="70">
        <v>1.4</v>
      </c>
      <c r="V167" s="69">
        <v>0</v>
      </c>
      <c r="W167" s="69">
        <v>0</v>
      </c>
      <c r="X167" s="69">
        <v>0</v>
      </c>
      <c r="Y167" s="69">
        <v>0</v>
      </c>
      <c r="Z167" s="68">
        <f>AA166</f>
        <v>2.6</v>
      </c>
      <c r="AA167" s="68">
        <f>AB166</f>
        <v>2.6</v>
      </c>
      <c r="AB167" s="68">
        <f t="shared" ref="AB167" si="364">AC166</f>
        <v>0.9</v>
      </c>
      <c r="AC167" s="68">
        <f>AD166</f>
        <v>0.9</v>
      </c>
      <c r="AD167" s="70">
        <v>1.4</v>
      </c>
      <c r="AE167" s="69">
        <v>0</v>
      </c>
      <c r="AF167" s="69">
        <v>0</v>
      </c>
      <c r="AG167" s="69">
        <v>0</v>
      </c>
      <c r="AH167" s="69">
        <v>0</v>
      </c>
      <c r="AI167" s="68">
        <f>AJ166</f>
        <v>4.5</v>
      </c>
      <c r="AJ167" s="68">
        <f>AK166</f>
        <v>4.5</v>
      </c>
      <c r="AK167" s="68">
        <f t="shared" ref="AK167" si="365">AL166</f>
        <v>4.7</v>
      </c>
      <c r="AL167" s="68">
        <f>AM166</f>
        <v>4.8</v>
      </c>
      <c r="AM167" s="70">
        <v>5</v>
      </c>
      <c r="AN167" s="69">
        <v>0</v>
      </c>
      <c r="AO167" s="69">
        <v>0</v>
      </c>
      <c r="AP167" s="69">
        <v>0</v>
      </c>
      <c r="AQ167" s="69">
        <v>0</v>
      </c>
    </row>
    <row r="168" spans="2:43">
      <c r="B168">
        <f t="shared" si="361"/>
        <v>1998</v>
      </c>
      <c r="C168">
        <f t="shared" si="362"/>
        <v>11</v>
      </c>
      <c r="D168" s="7">
        <v>36116</v>
      </c>
      <c r="E168" s="6">
        <v>36111</v>
      </c>
      <c r="F168" s="4">
        <v>1</v>
      </c>
      <c r="G168" s="4">
        <v>0</v>
      </c>
      <c r="H168" s="10">
        <v>0</v>
      </c>
      <c r="I168">
        <v>2.1134970479866799E-2</v>
      </c>
      <c r="J168" s="28">
        <v>111798</v>
      </c>
      <c r="K168" s="29">
        <v>36116</v>
      </c>
      <c r="L168" s="30">
        <v>36130</v>
      </c>
      <c r="M168" s="29">
        <v>36111</v>
      </c>
      <c r="N168" s="17">
        <v>36130</v>
      </c>
      <c r="O168" s="31">
        <v>-0.25</v>
      </c>
      <c r="P168" s="26">
        <v>5</v>
      </c>
      <c r="Q168" s="20">
        <v>0.8</v>
      </c>
      <c r="R168" s="20">
        <v>1.1000000000000001</v>
      </c>
      <c r="S168" s="20">
        <v>1.7</v>
      </c>
      <c r="T168" s="20">
        <v>1.3</v>
      </c>
      <c r="U168" s="20">
        <v>1.5</v>
      </c>
      <c r="V168" s="19">
        <v>-0.7</v>
      </c>
      <c r="W168" s="19">
        <v>0.1</v>
      </c>
      <c r="X168" s="19">
        <v>-0.1</v>
      </c>
      <c r="Y168" s="19">
        <v>-0.1</v>
      </c>
      <c r="Z168" s="20">
        <v>3.6</v>
      </c>
      <c r="AA168" s="20">
        <v>2.1</v>
      </c>
      <c r="AB168" s="20">
        <v>1.4</v>
      </c>
      <c r="AC168" s="20">
        <v>1.4</v>
      </c>
      <c r="AD168" s="20">
        <v>1.5</v>
      </c>
      <c r="AE168" s="19">
        <v>1</v>
      </c>
      <c r="AF168" s="19">
        <v>-0.5</v>
      </c>
      <c r="AG168" s="19">
        <v>0.5</v>
      </c>
      <c r="AH168" s="19">
        <v>0.5</v>
      </c>
      <c r="AI168" s="15">
        <v>4.5999999999999996</v>
      </c>
      <c r="AJ168" s="15">
        <v>4.5999999999999996</v>
      </c>
      <c r="AK168" s="15">
        <v>4.5999999999999996</v>
      </c>
      <c r="AL168" s="15">
        <v>4.7</v>
      </c>
      <c r="AM168" s="15">
        <v>4.8</v>
      </c>
      <c r="AN168" s="19">
        <v>0.1</v>
      </c>
      <c r="AO168" s="19">
        <v>0.1</v>
      </c>
      <c r="AP168" s="19">
        <v>-0.1</v>
      </c>
      <c r="AQ168" s="19">
        <v>-0.1</v>
      </c>
    </row>
    <row r="169" spans="2:43">
      <c r="B169">
        <f t="shared" si="361"/>
        <v>1998</v>
      </c>
      <c r="C169">
        <f t="shared" si="362"/>
        <v>12</v>
      </c>
      <c r="D169" s="7">
        <v>36151</v>
      </c>
      <c r="E169" s="6">
        <v>36145</v>
      </c>
      <c r="F169" s="4">
        <v>1</v>
      </c>
      <c r="G169" s="4">
        <v>0</v>
      </c>
      <c r="H169" s="10">
        <v>0</v>
      </c>
      <c r="I169">
        <v>-2.3456066910798198E-2</v>
      </c>
      <c r="J169" s="28">
        <v>122298</v>
      </c>
      <c r="K169" s="29">
        <v>36151</v>
      </c>
      <c r="L169" s="30">
        <v>36130</v>
      </c>
      <c r="M169" s="29">
        <v>36145</v>
      </c>
      <c r="N169" s="17">
        <v>36130</v>
      </c>
      <c r="O169" s="31">
        <v>0</v>
      </c>
      <c r="P169" s="26">
        <v>4.75</v>
      </c>
      <c r="Q169" s="20">
        <v>0.8</v>
      </c>
      <c r="R169" s="20">
        <v>1</v>
      </c>
      <c r="S169" s="20">
        <v>1.9</v>
      </c>
      <c r="T169" s="20">
        <v>1.3</v>
      </c>
      <c r="U169" s="20">
        <v>1.4</v>
      </c>
      <c r="V169" s="19">
        <v>0</v>
      </c>
      <c r="W169" s="19">
        <v>-0.1</v>
      </c>
      <c r="X169" s="19">
        <v>0.2</v>
      </c>
      <c r="Y169" s="19">
        <v>0</v>
      </c>
      <c r="Z169" s="20">
        <v>3.8</v>
      </c>
      <c r="AA169" s="20">
        <v>3.1</v>
      </c>
      <c r="AB169" s="20">
        <v>2.5</v>
      </c>
      <c r="AC169" s="20">
        <v>1.7</v>
      </c>
      <c r="AD169" s="20">
        <v>1.8</v>
      </c>
      <c r="AE169" s="19">
        <v>0.2</v>
      </c>
      <c r="AF169" s="19">
        <v>1</v>
      </c>
      <c r="AG169" s="19">
        <v>1.1000000000000001</v>
      </c>
      <c r="AH169" s="19">
        <v>0.3</v>
      </c>
      <c r="AI169" s="15">
        <v>4.5999999999999996</v>
      </c>
      <c r="AJ169" s="15">
        <v>4.5</v>
      </c>
      <c r="AK169" s="15">
        <v>4.4000000000000004</v>
      </c>
      <c r="AL169" s="15">
        <v>4.5</v>
      </c>
      <c r="AM169" s="15">
        <v>4.5999999999999996</v>
      </c>
      <c r="AN169" s="19">
        <v>0</v>
      </c>
      <c r="AO169" s="19">
        <v>-0.1</v>
      </c>
      <c r="AP169" s="19">
        <v>-0.2</v>
      </c>
      <c r="AQ169" s="19">
        <v>-0.2</v>
      </c>
    </row>
    <row r="170" spans="2:43">
      <c r="B170">
        <f t="shared" si="361"/>
        <v>1999</v>
      </c>
      <c r="C170">
        <f t="shared" si="362"/>
        <v>2</v>
      </c>
      <c r="D170" s="7">
        <v>36194</v>
      </c>
      <c r="E170" s="6">
        <v>36188</v>
      </c>
      <c r="F170" s="4">
        <v>1</v>
      </c>
      <c r="G170" s="4">
        <v>0</v>
      </c>
      <c r="H170" s="10">
        <v>0</v>
      </c>
      <c r="I170">
        <v>4.1725317220862E-2</v>
      </c>
      <c r="J170" s="28">
        <v>20399</v>
      </c>
      <c r="K170" s="29">
        <v>36194</v>
      </c>
      <c r="L170" s="30">
        <v>36220</v>
      </c>
      <c r="M170" s="29">
        <v>36188</v>
      </c>
      <c r="N170" s="17">
        <v>36220</v>
      </c>
      <c r="O170" s="31">
        <v>0</v>
      </c>
      <c r="P170" s="26">
        <v>4.75</v>
      </c>
      <c r="Q170" s="20">
        <v>1</v>
      </c>
      <c r="R170" s="20">
        <v>1.7</v>
      </c>
      <c r="S170" s="20">
        <v>1.4</v>
      </c>
      <c r="T170" s="20">
        <v>1.5</v>
      </c>
      <c r="U170" s="20">
        <v>1.5</v>
      </c>
      <c r="V170" s="19">
        <v>0</v>
      </c>
      <c r="W170" s="19">
        <v>-0.2</v>
      </c>
      <c r="X170" s="19">
        <v>0.1</v>
      </c>
      <c r="Y170" s="19">
        <v>0.1</v>
      </c>
      <c r="Z170" s="20">
        <v>5</v>
      </c>
      <c r="AA170" s="20">
        <v>2.7</v>
      </c>
      <c r="AB170" s="20">
        <v>2.4</v>
      </c>
      <c r="AC170" s="20">
        <v>2.2000000000000002</v>
      </c>
      <c r="AD170" s="20">
        <v>2.9</v>
      </c>
      <c r="AE170" s="19">
        <v>1.9</v>
      </c>
      <c r="AF170" s="19">
        <v>0.2</v>
      </c>
      <c r="AG170" s="19">
        <v>0.7</v>
      </c>
      <c r="AH170" s="19">
        <v>0.4</v>
      </c>
      <c r="AI170" s="15">
        <v>4.4000000000000004</v>
      </c>
      <c r="AJ170" s="15">
        <v>4.3</v>
      </c>
      <c r="AK170" s="15">
        <v>4.3</v>
      </c>
      <c r="AL170" s="15">
        <v>4.3</v>
      </c>
      <c r="AM170" s="15">
        <v>4.3</v>
      </c>
      <c r="AN170" s="19">
        <v>-0.1</v>
      </c>
      <c r="AO170" s="19">
        <v>-0.1</v>
      </c>
      <c r="AP170" s="19">
        <v>-0.2</v>
      </c>
      <c r="AQ170" s="19">
        <v>-0.3</v>
      </c>
    </row>
    <row r="171" spans="2:43">
      <c r="B171">
        <f t="shared" si="361"/>
        <v>1999</v>
      </c>
      <c r="C171">
        <f t="shared" si="362"/>
        <v>3</v>
      </c>
      <c r="D171" s="7">
        <v>36249</v>
      </c>
      <c r="E171" s="6">
        <v>36243</v>
      </c>
      <c r="F171" s="4">
        <v>1</v>
      </c>
      <c r="G171" s="4">
        <v>0</v>
      </c>
      <c r="H171" s="10">
        <v>-0.02</v>
      </c>
      <c r="I171">
        <v>-4.2194102628186902E-2</v>
      </c>
      <c r="J171" s="28">
        <v>33099</v>
      </c>
      <c r="K171" s="29">
        <v>36249</v>
      </c>
      <c r="L171" s="30">
        <v>36220</v>
      </c>
      <c r="M171" s="29">
        <v>36243</v>
      </c>
      <c r="N171" s="17">
        <v>36220</v>
      </c>
      <c r="O171" s="31">
        <v>0</v>
      </c>
      <c r="P171" s="26">
        <v>4.75</v>
      </c>
      <c r="Q171" s="20">
        <v>0.8</v>
      </c>
      <c r="R171" s="20">
        <v>1.6</v>
      </c>
      <c r="S171" s="20">
        <v>1.4</v>
      </c>
      <c r="T171" s="20">
        <v>1.5</v>
      </c>
      <c r="U171" s="20">
        <v>1.4</v>
      </c>
      <c r="V171" s="19">
        <v>-0.2</v>
      </c>
      <c r="W171" s="19">
        <v>-0.1</v>
      </c>
      <c r="X171" s="19">
        <v>0</v>
      </c>
      <c r="Y171" s="19">
        <v>0</v>
      </c>
      <c r="Z171" s="20">
        <v>5.9</v>
      </c>
      <c r="AA171" s="20">
        <v>3.4</v>
      </c>
      <c r="AB171" s="20">
        <v>3.2</v>
      </c>
      <c r="AC171" s="20">
        <v>2.2999999999999998</v>
      </c>
      <c r="AD171" s="20">
        <v>3</v>
      </c>
      <c r="AE171" s="19">
        <v>0.9</v>
      </c>
      <c r="AF171" s="19">
        <v>0.7</v>
      </c>
      <c r="AG171" s="19">
        <v>0.8</v>
      </c>
      <c r="AH171" s="19">
        <v>0.1</v>
      </c>
      <c r="AI171" s="15">
        <v>4.4000000000000004</v>
      </c>
      <c r="AJ171" s="15">
        <v>4.3</v>
      </c>
      <c r="AK171" s="15">
        <v>4.2</v>
      </c>
      <c r="AL171" s="15">
        <v>4.2</v>
      </c>
      <c r="AM171" s="15">
        <v>4.2</v>
      </c>
      <c r="AN171" s="19">
        <v>0</v>
      </c>
      <c r="AO171" s="19">
        <v>0</v>
      </c>
      <c r="AP171" s="19">
        <v>-0.1</v>
      </c>
      <c r="AQ171" s="19">
        <v>-0.1</v>
      </c>
    </row>
    <row r="172" spans="2:43">
      <c r="B172">
        <f t="shared" si="361"/>
        <v>1999</v>
      </c>
      <c r="C172">
        <f t="shared" si="362"/>
        <v>5</v>
      </c>
      <c r="D172" s="7">
        <v>36298</v>
      </c>
      <c r="E172" s="6">
        <v>36293</v>
      </c>
      <c r="F172" s="4">
        <v>1</v>
      </c>
      <c r="G172" s="4">
        <v>0</v>
      </c>
      <c r="H172" s="10">
        <v>0.04</v>
      </c>
      <c r="I172">
        <v>6.0499625036179998E-2</v>
      </c>
      <c r="J172" s="28">
        <v>51899</v>
      </c>
      <c r="K172" s="29">
        <v>36298</v>
      </c>
      <c r="L172" s="30">
        <v>36312</v>
      </c>
      <c r="M172" s="29">
        <v>36293</v>
      </c>
      <c r="N172" s="17">
        <v>36312</v>
      </c>
      <c r="O172" s="31">
        <v>0</v>
      </c>
      <c r="P172" s="26">
        <v>4.75</v>
      </c>
      <c r="Q172" s="20">
        <v>1.5</v>
      </c>
      <c r="R172" s="20">
        <v>1.4</v>
      </c>
      <c r="S172" s="20">
        <v>1.5</v>
      </c>
      <c r="T172" s="20">
        <v>1.5</v>
      </c>
      <c r="U172" s="20">
        <v>1.8</v>
      </c>
      <c r="V172" s="19">
        <v>-0.1</v>
      </c>
      <c r="W172" s="19">
        <v>0</v>
      </c>
      <c r="X172" s="19">
        <v>0</v>
      </c>
      <c r="Y172" s="19">
        <v>0.1</v>
      </c>
      <c r="Z172" s="20">
        <v>4.0999999999999996</v>
      </c>
      <c r="AA172" s="20">
        <v>3.4</v>
      </c>
      <c r="AB172" s="20">
        <v>2.8</v>
      </c>
      <c r="AC172" s="20">
        <v>3.7</v>
      </c>
      <c r="AD172" s="20">
        <v>0.1</v>
      </c>
      <c r="AE172" s="19">
        <v>0.7</v>
      </c>
      <c r="AF172" s="19">
        <v>0.2</v>
      </c>
      <c r="AG172" s="19">
        <v>0.5</v>
      </c>
      <c r="AH172" s="19">
        <v>0.7</v>
      </c>
      <c r="AI172" s="15">
        <v>4.3</v>
      </c>
      <c r="AJ172" s="15">
        <v>4.2</v>
      </c>
      <c r="AK172" s="15">
        <v>4.0999999999999996</v>
      </c>
      <c r="AL172" s="15">
        <v>4</v>
      </c>
      <c r="AM172" s="15">
        <v>4.0999999999999996</v>
      </c>
      <c r="AN172" s="19">
        <v>0</v>
      </c>
      <c r="AO172" s="19">
        <v>0</v>
      </c>
      <c r="AP172" s="19">
        <v>-0.1</v>
      </c>
      <c r="AQ172" s="19">
        <v>-0.2</v>
      </c>
    </row>
    <row r="173" spans="2:43">
      <c r="B173">
        <f t="shared" si="361"/>
        <v>1999</v>
      </c>
      <c r="C173">
        <f t="shared" si="362"/>
        <v>6</v>
      </c>
      <c r="D173" s="7">
        <v>36341</v>
      </c>
      <c r="E173" s="6">
        <v>36334</v>
      </c>
      <c r="F173" s="4">
        <v>1</v>
      </c>
      <c r="G173" s="4">
        <v>0</v>
      </c>
      <c r="H173" s="10">
        <v>-7.0000000000000007E-2</v>
      </c>
      <c r="I173">
        <v>-6.1009958412780299E-2</v>
      </c>
      <c r="J173" s="28">
        <v>63099</v>
      </c>
      <c r="K173" s="29">
        <v>36341</v>
      </c>
      <c r="L173" s="30">
        <v>36312</v>
      </c>
      <c r="M173" s="29">
        <v>36334</v>
      </c>
      <c r="N173" s="17">
        <v>36312</v>
      </c>
      <c r="O173" s="31">
        <v>0.25</v>
      </c>
      <c r="P173" s="26">
        <v>4.75</v>
      </c>
      <c r="Q173" s="20">
        <v>1.5</v>
      </c>
      <c r="R173" s="20">
        <v>1.7</v>
      </c>
      <c r="S173" s="20">
        <v>1.3</v>
      </c>
      <c r="T173" s="20">
        <v>1.6</v>
      </c>
      <c r="U173" s="20">
        <v>2.1</v>
      </c>
      <c r="V173" s="19">
        <v>0</v>
      </c>
      <c r="W173" s="19">
        <v>0.3</v>
      </c>
      <c r="X173" s="19">
        <v>-0.2</v>
      </c>
      <c r="Y173" s="19">
        <v>0.1</v>
      </c>
      <c r="Z173" s="20">
        <v>4.5</v>
      </c>
      <c r="AA173" s="20">
        <v>2.9</v>
      </c>
      <c r="AB173" s="20">
        <v>3.5</v>
      </c>
      <c r="AC173" s="20">
        <v>3.7</v>
      </c>
      <c r="AD173" s="20">
        <v>0.1</v>
      </c>
      <c r="AE173" s="19">
        <v>0.4</v>
      </c>
      <c r="AF173" s="19">
        <v>-0.5</v>
      </c>
      <c r="AG173" s="19">
        <v>0.7</v>
      </c>
      <c r="AH173" s="19">
        <v>0</v>
      </c>
      <c r="AI173" s="15">
        <v>4.3</v>
      </c>
      <c r="AJ173" s="15">
        <v>4.2</v>
      </c>
      <c r="AK173" s="15">
        <v>4.0999999999999996</v>
      </c>
      <c r="AL173" s="15">
        <v>4.0999999999999996</v>
      </c>
      <c r="AM173" s="15">
        <v>4.0999999999999996</v>
      </c>
      <c r="AN173" s="19">
        <v>0</v>
      </c>
      <c r="AO173" s="19">
        <v>0</v>
      </c>
      <c r="AP173" s="19">
        <v>0</v>
      </c>
      <c r="AQ173" s="19">
        <v>0.1</v>
      </c>
    </row>
    <row r="174" spans="2:43">
      <c r="B174">
        <f t="shared" si="361"/>
        <v>1999</v>
      </c>
      <c r="C174">
        <f t="shared" si="362"/>
        <v>8</v>
      </c>
      <c r="D174" s="7">
        <v>36396</v>
      </c>
      <c r="E174" s="6">
        <v>36390</v>
      </c>
      <c r="F174" s="4">
        <v>1</v>
      </c>
      <c r="G174" s="4">
        <v>0</v>
      </c>
      <c r="H174" s="10">
        <v>1.4999999999999999E-2</v>
      </c>
      <c r="I174">
        <v>2.5651805702705501E-2</v>
      </c>
      <c r="J174" s="28">
        <v>82499</v>
      </c>
      <c r="K174" s="29">
        <v>36396</v>
      </c>
      <c r="L174" s="30">
        <v>36404</v>
      </c>
      <c r="M174" s="29">
        <v>36390</v>
      </c>
      <c r="N174" s="17">
        <v>36404</v>
      </c>
      <c r="O174" s="31">
        <v>0.25</v>
      </c>
      <c r="P174" s="26">
        <v>5</v>
      </c>
      <c r="Q174" s="20">
        <v>1.6</v>
      </c>
      <c r="R174" s="20">
        <v>1.4</v>
      </c>
      <c r="S174" s="20">
        <v>1.6</v>
      </c>
      <c r="T174" s="20">
        <v>2.2000000000000002</v>
      </c>
      <c r="U174" s="20">
        <v>1.8</v>
      </c>
      <c r="V174" s="19">
        <v>-0.1</v>
      </c>
      <c r="W174" s="19">
        <v>0.1</v>
      </c>
      <c r="X174" s="19">
        <v>0</v>
      </c>
      <c r="Y174" s="19">
        <v>0.1</v>
      </c>
      <c r="Z174" s="20">
        <v>1.9</v>
      </c>
      <c r="AA174" s="20">
        <v>3.5</v>
      </c>
      <c r="AB174" s="20">
        <v>4.0999999999999996</v>
      </c>
      <c r="AC174" s="20">
        <v>0.4</v>
      </c>
      <c r="AD174" s="20">
        <v>4.4000000000000004</v>
      </c>
      <c r="AE174" s="19">
        <v>-1</v>
      </c>
      <c r="AF174" s="19">
        <v>0</v>
      </c>
      <c r="AG174" s="19">
        <v>0.4</v>
      </c>
      <c r="AH174" s="19">
        <v>0.3</v>
      </c>
      <c r="AI174" s="15">
        <v>4.3</v>
      </c>
      <c r="AJ174" s="15">
        <v>4.2</v>
      </c>
      <c r="AK174" s="15">
        <v>4.2</v>
      </c>
      <c r="AL174" s="15">
        <v>4.2</v>
      </c>
      <c r="AM174" s="15">
        <v>4.2</v>
      </c>
      <c r="AN174" s="19">
        <v>0.1</v>
      </c>
      <c r="AO174" s="19">
        <v>0.1</v>
      </c>
      <c r="AP174" s="19">
        <v>0.1</v>
      </c>
      <c r="AQ174" s="19">
        <v>0.1</v>
      </c>
    </row>
    <row r="175" spans="2:43">
      <c r="B175">
        <f t="shared" si="361"/>
        <v>1999</v>
      </c>
      <c r="C175">
        <f t="shared" si="362"/>
        <v>10</v>
      </c>
      <c r="D175" s="7">
        <v>36438</v>
      </c>
      <c r="E175" s="6">
        <v>36432</v>
      </c>
      <c r="F175" s="4">
        <v>1</v>
      </c>
      <c r="G175" s="4">
        <v>0</v>
      </c>
      <c r="H175" s="10">
        <v>0.04</v>
      </c>
      <c r="I175">
        <v>5.2212057756409802E-2</v>
      </c>
      <c r="J175" s="28">
        <v>100599</v>
      </c>
      <c r="K175" s="29">
        <v>36438</v>
      </c>
      <c r="L175" s="30">
        <v>36495</v>
      </c>
      <c r="M175" s="29">
        <v>36432</v>
      </c>
      <c r="N175" s="17">
        <v>36404</v>
      </c>
      <c r="O175" s="31">
        <v>0</v>
      </c>
      <c r="P175" s="26">
        <v>5.25</v>
      </c>
      <c r="Q175" s="20">
        <v>1.6</v>
      </c>
      <c r="R175" s="20">
        <v>1.1000000000000001</v>
      </c>
      <c r="S175" s="20">
        <v>1.4</v>
      </c>
      <c r="T175" s="20">
        <v>2.2999999999999998</v>
      </c>
      <c r="U175" s="20">
        <v>1.9</v>
      </c>
      <c r="V175" s="19">
        <v>0</v>
      </c>
      <c r="W175" s="19">
        <v>-0.3</v>
      </c>
      <c r="X175" s="19">
        <v>-0.2</v>
      </c>
      <c r="Y175" s="19">
        <v>0.1</v>
      </c>
      <c r="Z175" s="20">
        <v>1.8</v>
      </c>
      <c r="AA175" s="20">
        <v>4.4000000000000004</v>
      </c>
      <c r="AB175" s="20">
        <v>4.5</v>
      </c>
      <c r="AC175" s="20">
        <v>0.9</v>
      </c>
      <c r="AD175" s="20">
        <v>4.5</v>
      </c>
      <c r="AE175" s="19">
        <v>-0.1</v>
      </c>
      <c r="AF175" s="19">
        <v>0.9</v>
      </c>
      <c r="AG175" s="19">
        <v>0.4</v>
      </c>
      <c r="AH175" s="19">
        <v>0.5</v>
      </c>
      <c r="AI175" s="15">
        <v>4.3</v>
      </c>
      <c r="AJ175" s="15">
        <v>4.2</v>
      </c>
      <c r="AK175" s="15">
        <v>4.0999999999999996</v>
      </c>
      <c r="AL175" s="15">
        <v>4</v>
      </c>
      <c r="AM175" s="15">
        <v>4</v>
      </c>
      <c r="AN175" s="19">
        <v>0</v>
      </c>
      <c r="AO175" s="19">
        <v>0</v>
      </c>
      <c r="AP175" s="19">
        <v>-0.1</v>
      </c>
      <c r="AQ175" s="19">
        <v>-0.2</v>
      </c>
    </row>
    <row r="176" spans="2:43">
      <c r="B176">
        <f t="shared" si="361"/>
        <v>1999</v>
      </c>
      <c r="C176">
        <f t="shared" si="362"/>
        <v>11</v>
      </c>
      <c r="D176" s="7">
        <v>36480</v>
      </c>
      <c r="E176" s="6">
        <v>36474</v>
      </c>
      <c r="F176" s="4">
        <v>1</v>
      </c>
      <c r="G176" s="4">
        <v>0</v>
      </c>
      <c r="H176" s="10">
        <v>6.0010000000000001E-2</v>
      </c>
      <c r="I176">
        <v>6.4608263462744897E-2</v>
      </c>
      <c r="J176" s="28">
        <v>111699</v>
      </c>
      <c r="K176" s="29">
        <v>36480</v>
      </c>
      <c r="L176" s="30">
        <v>36495</v>
      </c>
      <c r="M176" s="29">
        <v>36474</v>
      </c>
      <c r="N176" s="17">
        <v>36495</v>
      </c>
      <c r="O176" s="31">
        <v>0.25</v>
      </c>
      <c r="P176" s="26">
        <v>5.25</v>
      </c>
      <c r="Q176" s="20">
        <v>1</v>
      </c>
      <c r="R176" s="20">
        <v>1.7</v>
      </c>
      <c r="S176" s="20">
        <v>2.1</v>
      </c>
      <c r="T176" s="20">
        <v>1.7</v>
      </c>
      <c r="U176" s="20">
        <v>1.7</v>
      </c>
      <c r="V176" s="19">
        <v>-0.1</v>
      </c>
      <c r="W176" s="19">
        <v>0.3</v>
      </c>
      <c r="X176" s="19">
        <v>-0.2</v>
      </c>
      <c r="Y176" s="19">
        <v>-0.2</v>
      </c>
      <c r="Z176" s="20">
        <v>5.4</v>
      </c>
      <c r="AA176" s="20">
        <v>4.0999999999999996</v>
      </c>
      <c r="AB176" s="20">
        <v>1.5</v>
      </c>
      <c r="AC176" s="20">
        <v>5</v>
      </c>
      <c r="AD176" s="20">
        <v>3.8</v>
      </c>
      <c r="AE176" s="19">
        <v>1</v>
      </c>
      <c r="AF176" s="19">
        <v>-0.4</v>
      </c>
      <c r="AG176" s="19">
        <v>0.6</v>
      </c>
      <c r="AH176" s="19">
        <v>0.5</v>
      </c>
      <c r="AI176" s="15">
        <v>4.2</v>
      </c>
      <c r="AJ176" s="15">
        <v>4.0999999999999996</v>
      </c>
      <c r="AK176" s="15">
        <v>4.0999999999999996</v>
      </c>
      <c r="AL176" s="15">
        <v>4</v>
      </c>
      <c r="AM176" s="15">
        <v>4</v>
      </c>
      <c r="AN176" s="19">
        <v>0</v>
      </c>
      <c r="AO176" s="19">
        <v>0</v>
      </c>
      <c r="AP176" s="19">
        <v>0.1</v>
      </c>
      <c r="AQ176" s="19">
        <v>0</v>
      </c>
    </row>
    <row r="177" spans="2:43">
      <c r="B177">
        <f t="shared" si="361"/>
        <v>1999</v>
      </c>
      <c r="C177">
        <f t="shared" si="362"/>
        <v>12</v>
      </c>
      <c r="D177" s="7">
        <v>36515</v>
      </c>
      <c r="E177" s="6">
        <v>36509</v>
      </c>
      <c r="F177" s="4">
        <v>1</v>
      </c>
      <c r="G177" s="4">
        <v>0</v>
      </c>
      <c r="H177" s="10">
        <v>-5.0000000000000001E-3</v>
      </c>
      <c r="I177">
        <v>-4.8231619813596797E-2</v>
      </c>
      <c r="J177" s="28">
        <v>122199</v>
      </c>
      <c r="K177" s="29">
        <v>36515</v>
      </c>
      <c r="L177" s="30">
        <v>36495</v>
      </c>
      <c r="M177" s="29">
        <v>36509</v>
      </c>
      <c r="N177" s="17">
        <v>36495</v>
      </c>
      <c r="O177" s="31">
        <v>0</v>
      </c>
      <c r="P177" s="26">
        <v>5.5</v>
      </c>
      <c r="Q177" s="20">
        <v>1.2</v>
      </c>
      <c r="R177" s="20">
        <v>1.7</v>
      </c>
      <c r="S177" s="20">
        <v>2.1</v>
      </c>
      <c r="T177" s="20">
        <v>1.6</v>
      </c>
      <c r="U177" s="20">
        <v>1.7</v>
      </c>
      <c r="V177" s="19">
        <v>0.2</v>
      </c>
      <c r="W177" s="19">
        <v>0</v>
      </c>
      <c r="X177" s="19">
        <v>0</v>
      </c>
      <c r="Y177" s="19">
        <v>-0.1</v>
      </c>
      <c r="Z177" s="20">
        <v>5.6</v>
      </c>
      <c r="AA177" s="20">
        <v>4.8</v>
      </c>
      <c r="AB177" s="20">
        <v>3.2</v>
      </c>
      <c r="AC177" s="20">
        <v>4.3</v>
      </c>
      <c r="AD177" s="20">
        <v>3.8</v>
      </c>
      <c r="AE177" s="19">
        <v>0.2</v>
      </c>
      <c r="AF177" s="19">
        <v>0.7</v>
      </c>
      <c r="AG177" s="19">
        <v>1.7</v>
      </c>
      <c r="AH177" s="19">
        <v>-0.7</v>
      </c>
      <c r="AI177" s="15">
        <v>4.2</v>
      </c>
      <c r="AJ177" s="15">
        <v>4.0999999999999996</v>
      </c>
      <c r="AK177" s="15">
        <v>4.0999999999999996</v>
      </c>
      <c r="AL177" s="15">
        <v>4</v>
      </c>
      <c r="AM177" s="15">
        <v>4</v>
      </c>
      <c r="AN177" s="19">
        <v>0</v>
      </c>
      <c r="AO177" s="19">
        <v>0</v>
      </c>
      <c r="AP177" s="19">
        <v>0</v>
      </c>
      <c r="AQ177" s="19">
        <v>0</v>
      </c>
    </row>
    <row r="178" spans="2:43">
      <c r="B178">
        <f t="shared" si="361"/>
        <v>2000</v>
      </c>
      <c r="C178">
        <f t="shared" si="362"/>
        <v>2</v>
      </c>
      <c r="D178" s="7">
        <v>36558</v>
      </c>
      <c r="E178" s="6">
        <v>36552</v>
      </c>
      <c r="F178" s="4">
        <v>1</v>
      </c>
      <c r="G178" s="4">
        <v>0</v>
      </c>
      <c r="H178" s="10">
        <v>5.0000000000000001E-3</v>
      </c>
      <c r="I178">
        <v>1.4679884066796199E-4</v>
      </c>
      <c r="J178" s="28">
        <v>20200</v>
      </c>
      <c r="K178" s="29">
        <v>36558</v>
      </c>
      <c r="L178" s="30">
        <v>36586</v>
      </c>
      <c r="M178" s="29">
        <v>36552</v>
      </c>
      <c r="N178" s="17">
        <v>36586</v>
      </c>
      <c r="O178" s="31">
        <v>0.25</v>
      </c>
      <c r="P178" s="26">
        <v>5.5</v>
      </c>
      <c r="Q178" s="20">
        <v>1.6</v>
      </c>
      <c r="R178" s="20">
        <v>2.1</v>
      </c>
      <c r="S178" s="20">
        <v>1.8</v>
      </c>
      <c r="T178" s="20">
        <v>1.9</v>
      </c>
      <c r="U178" s="20">
        <v>1.8</v>
      </c>
      <c r="V178" s="19">
        <v>-0.1</v>
      </c>
      <c r="W178" s="19">
        <v>0</v>
      </c>
      <c r="X178" s="19">
        <v>0.2</v>
      </c>
      <c r="Y178" s="19">
        <v>0.2</v>
      </c>
      <c r="Z178" s="20">
        <v>5.2</v>
      </c>
      <c r="AA178" s="20">
        <v>4</v>
      </c>
      <c r="AB178" s="20">
        <v>4.2</v>
      </c>
      <c r="AC178" s="20">
        <v>4.0999999999999996</v>
      </c>
      <c r="AD178" s="20">
        <v>3.9</v>
      </c>
      <c r="AE178" s="19">
        <v>0.4</v>
      </c>
      <c r="AF178" s="19">
        <v>0.8</v>
      </c>
      <c r="AG178" s="19">
        <v>-0.1</v>
      </c>
      <c r="AH178" s="19">
        <v>0.3</v>
      </c>
      <c r="AI178" s="15">
        <v>4.0999999999999996</v>
      </c>
      <c r="AJ178" s="15">
        <v>4</v>
      </c>
      <c r="AK178" s="15">
        <v>4</v>
      </c>
      <c r="AL178" s="15">
        <v>4</v>
      </c>
      <c r="AM178" s="15">
        <v>4</v>
      </c>
      <c r="AN178" s="19">
        <v>0</v>
      </c>
      <c r="AO178" s="19">
        <v>-0.1</v>
      </c>
      <c r="AP178" s="19">
        <v>0</v>
      </c>
      <c r="AQ178" s="19">
        <v>0</v>
      </c>
    </row>
    <row r="179" spans="2:43">
      <c r="B179">
        <f t="shared" si="361"/>
        <v>2000</v>
      </c>
      <c r="C179">
        <f t="shared" si="362"/>
        <v>3</v>
      </c>
      <c r="D179" s="7">
        <v>36606</v>
      </c>
      <c r="E179" s="6">
        <v>36600</v>
      </c>
      <c r="F179" s="4">
        <v>1</v>
      </c>
      <c r="G179" s="4">
        <v>0</v>
      </c>
      <c r="H179" s="10">
        <v>-9.9900000000000006E-3</v>
      </c>
      <c r="I179">
        <v>-2.4008994847695399E-2</v>
      </c>
      <c r="J179" s="28">
        <v>32100</v>
      </c>
      <c r="K179" s="29">
        <v>36606</v>
      </c>
      <c r="L179" s="30">
        <v>36586</v>
      </c>
      <c r="M179" s="29">
        <v>36600</v>
      </c>
      <c r="N179" s="17">
        <v>36586</v>
      </c>
      <c r="O179" s="31">
        <v>0.25</v>
      </c>
      <c r="P179" s="26">
        <v>5.75</v>
      </c>
      <c r="Q179" s="20">
        <v>2</v>
      </c>
      <c r="R179" s="20">
        <v>2.9</v>
      </c>
      <c r="S179" s="20">
        <v>2.6</v>
      </c>
      <c r="T179" s="20">
        <v>1.6</v>
      </c>
      <c r="U179" s="20">
        <v>1.7</v>
      </c>
      <c r="V179" s="19">
        <v>0.4</v>
      </c>
      <c r="W179" s="19">
        <v>0.8</v>
      </c>
      <c r="X179" s="19">
        <v>0.8</v>
      </c>
      <c r="Y179" s="19">
        <v>-0.3</v>
      </c>
      <c r="Z179" s="20">
        <v>7</v>
      </c>
      <c r="AA179" s="20">
        <v>4.3</v>
      </c>
      <c r="AB179" s="20">
        <v>4.9000000000000004</v>
      </c>
      <c r="AC179" s="20">
        <v>3.8</v>
      </c>
      <c r="AD179" s="20">
        <v>3.8</v>
      </c>
      <c r="AE179" s="19">
        <v>1.8</v>
      </c>
      <c r="AF179" s="19">
        <v>0.3</v>
      </c>
      <c r="AG179" s="19">
        <v>0.7</v>
      </c>
      <c r="AH179" s="19">
        <v>-0.3</v>
      </c>
      <c r="AI179" s="15">
        <v>4.0999999999999996</v>
      </c>
      <c r="AJ179" s="15">
        <v>4</v>
      </c>
      <c r="AK179" s="15">
        <v>4</v>
      </c>
      <c r="AL179" s="15">
        <v>4</v>
      </c>
      <c r="AM179" s="15">
        <v>4</v>
      </c>
      <c r="AN179" s="19">
        <v>0</v>
      </c>
      <c r="AO179" s="19">
        <v>0</v>
      </c>
      <c r="AP179" s="19">
        <v>0</v>
      </c>
      <c r="AQ179" s="19">
        <v>0</v>
      </c>
    </row>
    <row r="180" spans="2:43">
      <c r="B180">
        <f t="shared" si="361"/>
        <v>2000</v>
      </c>
      <c r="C180">
        <f t="shared" si="362"/>
        <v>5</v>
      </c>
      <c r="D180" s="7">
        <v>36662</v>
      </c>
      <c r="E180" s="6">
        <v>36657</v>
      </c>
      <c r="F180" s="4">
        <v>1</v>
      </c>
      <c r="G180" s="4">
        <v>0</v>
      </c>
      <c r="H180" s="10">
        <v>7.0000000000000007E-2</v>
      </c>
      <c r="I180">
        <v>5.8695902673908798E-2</v>
      </c>
      <c r="J180" s="28">
        <v>51600</v>
      </c>
      <c r="K180" s="29">
        <v>36662</v>
      </c>
      <c r="L180" s="30">
        <v>36678</v>
      </c>
      <c r="M180" s="29">
        <v>36657</v>
      </c>
      <c r="N180" s="17">
        <v>36678</v>
      </c>
      <c r="O180" s="31">
        <v>0.5</v>
      </c>
      <c r="P180" s="26">
        <v>6</v>
      </c>
      <c r="Q180" s="20">
        <v>2.6</v>
      </c>
      <c r="R180" s="20">
        <v>2.7</v>
      </c>
      <c r="S180" s="20">
        <v>1.9</v>
      </c>
      <c r="T180" s="20">
        <v>1.8</v>
      </c>
      <c r="U180" s="20">
        <v>2.1</v>
      </c>
      <c r="V180" s="19">
        <v>-0.3</v>
      </c>
      <c r="W180" s="19">
        <v>0.1</v>
      </c>
      <c r="X180" s="19">
        <v>0.3</v>
      </c>
      <c r="Y180" s="19">
        <v>0.1</v>
      </c>
      <c r="Z180" s="20">
        <v>4.9000000000000004</v>
      </c>
      <c r="AA180" s="20">
        <v>5.3</v>
      </c>
      <c r="AB180" s="20">
        <v>4.0999999999999996</v>
      </c>
      <c r="AC180" s="20">
        <v>4</v>
      </c>
      <c r="AD180" s="20">
        <v>3.6</v>
      </c>
      <c r="AE180" s="19">
        <v>0.6</v>
      </c>
      <c r="AF180" s="19">
        <v>0.4</v>
      </c>
      <c r="AG180" s="19">
        <v>0.3</v>
      </c>
      <c r="AH180" s="19">
        <v>0.2</v>
      </c>
      <c r="AI180" s="15">
        <v>4.0999999999999996</v>
      </c>
      <c r="AJ180" s="15">
        <v>3.9</v>
      </c>
      <c r="AK180" s="15">
        <v>3.8</v>
      </c>
      <c r="AL180" s="15">
        <v>3.8</v>
      </c>
      <c r="AM180" s="15">
        <v>3.9</v>
      </c>
      <c r="AN180" s="19">
        <v>0.1</v>
      </c>
      <c r="AO180" s="19">
        <v>-0.1</v>
      </c>
      <c r="AP180" s="19">
        <v>-0.2</v>
      </c>
      <c r="AQ180" s="19">
        <v>-0.2</v>
      </c>
    </row>
    <row r="181" spans="2:43">
      <c r="B181">
        <f t="shared" si="361"/>
        <v>2000</v>
      </c>
      <c r="C181">
        <f t="shared" si="362"/>
        <v>6</v>
      </c>
      <c r="D181" s="7">
        <v>36705</v>
      </c>
      <c r="E181" s="6">
        <v>36698</v>
      </c>
      <c r="F181" s="4">
        <v>1</v>
      </c>
      <c r="G181" s="4">
        <v>0</v>
      </c>
      <c r="H181" s="10">
        <v>-1.5010000000000001E-2</v>
      </c>
      <c r="I181">
        <v>-1.9772524883693701E-2</v>
      </c>
      <c r="J181" s="28">
        <v>62800</v>
      </c>
      <c r="K181" s="29">
        <v>36705</v>
      </c>
      <c r="L181" s="30">
        <v>36678</v>
      </c>
      <c r="M181" s="29">
        <v>36698</v>
      </c>
      <c r="N181" s="17">
        <v>36678</v>
      </c>
      <c r="O181" s="31">
        <v>0</v>
      </c>
      <c r="P181" s="26">
        <v>6.5</v>
      </c>
      <c r="Q181" s="20">
        <v>2.7</v>
      </c>
      <c r="R181" s="20">
        <v>2.6</v>
      </c>
      <c r="S181" s="20">
        <v>2.2999999999999998</v>
      </c>
      <c r="T181" s="20">
        <v>1.7</v>
      </c>
      <c r="U181" s="20">
        <v>2</v>
      </c>
      <c r="V181" s="19">
        <v>0.1</v>
      </c>
      <c r="W181" s="19">
        <v>-0.1</v>
      </c>
      <c r="X181" s="19">
        <v>0.4</v>
      </c>
      <c r="Y181" s="19">
        <v>-0.1</v>
      </c>
      <c r="Z181" s="20">
        <v>5.5</v>
      </c>
      <c r="AA181" s="20">
        <v>4.0999999999999996</v>
      </c>
      <c r="AB181" s="20">
        <v>3.8</v>
      </c>
      <c r="AC181" s="20">
        <v>3.8</v>
      </c>
      <c r="AD181" s="20">
        <v>3.5</v>
      </c>
      <c r="AE181" s="19">
        <v>0.6</v>
      </c>
      <c r="AF181" s="19">
        <v>-1.2</v>
      </c>
      <c r="AG181" s="19">
        <v>-0.3</v>
      </c>
      <c r="AH181" s="19">
        <v>-0.2</v>
      </c>
      <c r="AI181" s="15">
        <v>4.0999999999999996</v>
      </c>
      <c r="AJ181" s="15">
        <v>4</v>
      </c>
      <c r="AK181" s="15">
        <v>3.9</v>
      </c>
      <c r="AL181" s="15">
        <v>3.9</v>
      </c>
      <c r="AM181" s="15">
        <v>4</v>
      </c>
      <c r="AN181" s="19">
        <v>0</v>
      </c>
      <c r="AO181" s="19">
        <v>0.1</v>
      </c>
      <c r="AP181" s="19">
        <v>0.1</v>
      </c>
      <c r="AQ181" s="19">
        <v>0.1</v>
      </c>
    </row>
    <row r="182" spans="2:43">
      <c r="B182">
        <f t="shared" si="361"/>
        <v>2000</v>
      </c>
      <c r="C182">
        <f t="shared" si="362"/>
        <v>8</v>
      </c>
      <c r="D182" s="7">
        <v>36760</v>
      </c>
      <c r="E182" s="6">
        <v>36754</v>
      </c>
      <c r="F182" s="4">
        <v>1</v>
      </c>
      <c r="G182" s="4">
        <v>0</v>
      </c>
      <c r="H182" s="10">
        <v>5.0000000000000001E-3</v>
      </c>
      <c r="I182">
        <v>3.4683525765002101E-3</v>
      </c>
      <c r="J182" s="28">
        <v>82200</v>
      </c>
      <c r="K182" s="29">
        <v>36760</v>
      </c>
      <c r="L182" s="30">
        <v>36770</v>
      </c>
      <c r="M182" s="29">
        <v>36754</v>
      </c>
      <c r="N182" s="17">
        <v>36770</v>
      </c>
      <c r="O182" s="31">
        <v>0</v>
      </c>
      <c r="P182" s="26">
        <v>6.5</v>
      </c>
      <c r="Q182" s="20">
        <v>2.5</v>
      </c>
      <c r="R182" s="20">
        <v>1.5</v>
      </c>
      <c r="S182" s="20">
        <v>1.6</v>
      </c>
      <c r="T182" s="20">
        <v>2.2000000000000002</v>
      </c>
      <c r="U182" s="20">
        <v>1.7</v>
      </c>
      <c r="V182" s="19">
        <v>-0.1</v>
      </c>
      <c r="W182" s="19">
        <v>-0.8</v>
      </c>
      <c r="X182" s="19">
        <v>-0.1</v>
      </c>
      <c r="Y182" s="19">
        <v>0.2</v>
      </c>
      <c r="Z182" s="20">
        <v>4.9000000000000004</v>
      </c>
      <c r="AA182" s="20">
        <v>3.2</v>
      </c>
      <c r="AB182" s="20">
        <v>3.8</v>
      </c>
      <c r="AC182" s="20">
        <v>3.9</v>
      </c>
      <c r="AD182" s="20">
        <v>4</v>
      </c>
      <c r="AE182" s="19">
        <v>0.8</v>
      </c>
      <c r="AF182" s="19">
        <v>-0.6</v>
      </c>
      <c r="AG182" s="19">
        <v>0</v>
      </c>
      <c r="AH182" s="19">
        <v>0.4</v>
      </c>
      <c r="AI182" s="15">
        <v>4</v>
      </c>
      <c r="AJ182" s="15">
        <v>4</v>
      </c>
      <c r="AK182" s="15">
        <v>4</v>
      </c>
      <c r="AL182" s="15">
        <v>4.0999999999999996</v>
      </c>
      <c r="AM182" s="15">
        <v>4.0999999999999996</v>
      </c>
      <c r="AN182" s="19">
        <v>0</v>
      </c>
      <c r="AO182" s="19">
        <v>0.1</v>
      </c>
      <c r="AP182" s="19">
        <v>0.1</v>
      </c>
      <c r="AQ182" s="19">
        <v>0.1</v>
      </c>
    </row>
    <row r="183" spans="2:43">
      <c r="B183">
        <f t="shared" si="361"/>
        <v>2000</v>
      </c>
      <c r="C183">
        <f t="shared" si="362"/>
        <v>10</v>
      </c>
      <c r="D183" s="7">
        <v>36802</v>
      </c>
      <c r="E183" s="6">
        <v>36796</v>
      </c>
      <c r="F183" s="4">
        <v>1</v>
      </c>
      <c r="G183" s="4">
        <v>0</v>
      </c>
      <c r="H183" s="10">
        <v>2.5000000000000001E-2</v>
      </c>
      <c r="I183">
        <v>2.985951114757E-2</v>
      </c>
      <c r="J183" s="28">
        <v>100300</v>
      </c>
      <c r="K183" s="29">
        <v>36802</v>
      </c>
      <c r="L183" s="30">
        <v>36861</v>
      </c>
      <c r="M183" s="29">
        <v>36796</v>
      </c>
      <c r="N183" s="17">
        <v>36770</v>
      </c>
      <c r="O183" s="31">
        <v>0</v>
      </c>
      <c r="P183" s="26">
        <v>6.5</v>
      </c>
      <c r="Q183" s="20">
        <v>2.6</v>
      </c>
      <c r="R183" s="20">
        <v>1.8</v>
      </c>
      <c r="S183" s="20">
        <v>2</v>
      </c>
      <c r="T183" s="20">
        <v>2.2999999999999998</v>
      </c>
      <c r="U183" s="20">
        <v>1.8</v>
      </c>
      <c r="V183" s="19">
        <v>0.1</v>
      </c>
      <c r="W183" s="19">
        <v>0.3</v>
      </c>
      <c r="X183" s="19">
        <v>0.4</v>
      </c>
      <c r="Y183" s="19">
        <v>0.1</v>
      </c>
      <c r="Z183" s="20">
        <v>5.2</v>
      </c>
      <c r="AA183" s="20">
        <v>3</v>
      </c>
      <c r="AB183" s="20">
        <v>3.7</v>
      </c>
      <c r="AC183" s="20">
        <v>3.8</v>
      </c>
      <c r="AD183" s="20">
        <v>3.9</v>
      </c>
      <c r="AE183" s="19">
        <v>0.3</v>
      </c>
      <c r="AF183" s="19">
        <v>-0.2</v>
      </c>
      <c r="AG183" s="19">
        <v>-0.1</v>
      </c>
      <c r="AH183" s="19">
        <v>-0.1</v>
      </c>
      <c r="AI183" s="15">
        <v>4</v>
      </c>
      <c r="AJ183" s="15">
        <v>4.0999999999999996</v>
      </c>
      <c r="AK183" s="15">
        <v>4.0999999999999996</v>
      </c>
      <c r="AL183" s="15">
        <v>4.0999999999999996</v>
      </c>
      <c r="AM183" s="15">
        <v>4.0999999999999996</v>
      </c>
      <c r="AN183" s="19">
        <v>0</v>
      </c>
      <c r="AO183" s="19">
        <v>0.1</v>
      </c>
      <c r="AP183" s="19">
        <v>0.1</v>
      </c>
      <c r="AQ183" s="19">
        <v>0</v>
      </c>
    </row>
    <row r="184" spans="2:43">
      <c r="B184">
        <f t="shared" si="361"/>
        <v>2000</v>
      </c>
      <c r="C184">
        <f t="shared" si="362"/>
        <v>11</v>
      </c>
      <c r="D184" s="7">
        <v>36845</v>
      </c>
      <c r="E184" s="6">
        <v>36838</v>
      </c>
      <c r="F184" s="4">
        <v>1</v>
      </c>
      <c r="G184" s="4">
        <v>0</v>
      </c>
      <c r="H184" s="10">
        <v>0</v>
      </c>
      <c r="I184">
        <v>3.0298073679954599E-3</v>
      </c>
      <c r="J184" s="28">
        <v>111500</v>
      </c>
      <c r="K184" s="29">
        <v>36845</v>
      </c>
      <c r="L184" s="30">
        <v>36861</v>
      </c>
      <c r="M184" s="29">
        <v>36838</v>
      </c>
      <c r="N184" s="17">
        <v>36861</v>
      </c>
      <c r="O184" s="31">
        <v>0</v>
      </c>
      <c r="P184" s="26">
        <v>6.5</v>
      </c>
      <c r="Q184" s="20">
        <v>2</v>
      </c>
      <c r="R184" s="20">
        <v>2.2000000000000002</v>
      </c>
      <c r="S184" s="20">
        <v>2.4</v>
      </c>
      <c r="T184" s="20">
        <v>1.7</v>
      </c>
      <c r="U184" s="20">
        <v>1.7</v>
      </c>
      <c r="V184" s="19">
        <v>0.2</v>
      </c>
      <c r="W184" s="19">
        <v>0.2</v>
      </c>
      <c r="X184" s="19">
        <v>0.1</v>
      </c>
      <c r="Y184" s="19">
        <v>-0.1</v>
      </c>
      <c r="Z184" s="20">
        <v>2.6</v>
      </c>
      <c r="AA184" s="20">
        <v>3.5</v>
      </c>
      <c r="AB184" s="20">
        <v>3.6</v>
      </c>
      <c r="AC184" s="20">
        <v>3.6</v>
      </c>
      <c r="AD184" s="20">
        <v>3.7</v>
      </c>
      <c r="AE184" s="19">
        <v>-0.4</v>
      </c>
      <c r="AF184" s="19">
        <v>-0.2</v>
      </c>
      <c r="AG184" s="19">
        <v>-0.2</v>
      </c>
      <c r="AH184" s="19">
        <v>-0.3</v>
      </c>
      <c r="AI184" s="15">
        <v>4</v>
      </c>
      <c r="AJ184" s="15">
        <v>4</v>
      </c>
      <c r="AK184" s="15">
        <v>4.0999999999999996</v>
      </c>
      <c r="AL184" s="15">
        <v>4.2</v>
      </c>
      <c r="AM184" s="15">
        <v>4.3</v>
      </c>
      <c r="AN184" s="19">
        <v>-0.1</v>
      </c>
      <c r="AO184" s="19">
        <v>-0.1</v>
      </c>
      <c r="AP184" s="19">
        <v>0</v>
      </c>
      <c r="AQ184" s="19">
        <v>0.1</v>
      </c>
    </row>
    <row r="185" spans="2:43">
      <c r="B185">
        <f t="shared" si="361"/>
        <v>2000</v>
      </c>
      <c r="C185">
        <f t="shared" si="362"/>
        <v>12</v>
      </c>
      <c r="D185" s="7">
        <v>36879</v>
      </c>
      <c r="E185" s="6">
        <v>36873</v>
      </c>
      <c r="F185" s="4">
        <v>1</v>
      </c>
      <c r="G185" s="4">
        <v>0</v>
      </c>
      <c r="H185" s="10">
        <v>-5.0000000000000001E-3</v>
      </c>
      <c r="I185">
        <v>-6.7277157633091403E-3</v>
      </c>
      <c r="J185" s="28">
        <v>121900</v>
      </c>
      <c r="K185" s="29">
        <v>36879</v>
      </c>
      <c r="L185" s="30">
        <v>36861</v>
      </c>
      <c r="M185" s="29">
        <v>36873</v>
      </c>
      <c r="N185" s="17">
        <v>36861</v>
      </c>
      <c r="O185" s="31">
        <v>0</v>
      </c>
      <c r="P185" s="26">
        <v>6.5</v>
      </c>
      <c r="Q185" s="20">
        <v>1.9</v>
      </c>
      <c r="R185" s="20">
        <v>2.2999999999999998</v>
      </c>
      <c r="S185" s="20">
        <v>2.7</v>
      </c>
      <c r="T185" s="20">
        <v>1.8</v>
      </c>
      <c r="U185" s="20">
        <v>1.6</v>
      </c>
      <c r="V185" s="19">
        <v>-0.1</v>
      </c>
      <c r="W185" s="19">
        <v>0.1</v>
      </c>
      <c r="X185" s="19">
        <v>0.3</v>
      </c>
      <c r="Y185" s="19">
        <v>0.1</v>
      </c>
      <c r="Z185" s="20">
        <v>2.2999999999999998</v>
      </c>
      <c r="AA185" s="20">
        <v>2.4</v>
      </c>
      <c r="AB185" s="20">
        <v>2.2000000000000002</v>
      </c>
      <c r="AC185" s="20">
        <v>3.1</v>
      </c>
      <c r="AD185" s="20">
        <v>3.3</v>
      </c>
      <c r="AE185" s="19">
        <v>-0.3</v>
      </c>
      <c r="AF185" s="19">
        <v>-1.1000000000000001</v>
      </c>
      <c r="AG185" s="19">
        <v>-1.4</v>
      </c>
      <c r="AH185" s="19">
        <v>-0.5</v>
      </c>
      <c r="AI185" s="15">
        <v>4</v>
      </c>
      <c r="AJ185" s="15">
        <v>4</v>
      </c>
      <c r="AK185" s="15">
        <v>4.3</v>
      </c>
      <c r="AL185" s="15">
        <v>4.4000000000000004</v>
      </c>
      <c r="AM185" s="15">
        <v>4.5999999999999996</v>
      </c>
      <c r="AN185" s="19">
        <v>0</v>
      </c>
      <c r="AO185" s="19">
        <v>0</v>
      </c>
      <c r="AP185" s="19">
        <v>0.2</v>
      </c>
      <c r="AQ185" s="19">
        <v>0.2</v>
      </c>
    </row>
    <row r="186" spans="2:43">
      <c r="B186">
        <f t="shared" si="361"/>
        <v>2001</v>
      </c>
      <c r="C186">
        <f t="shared" si="362"/>
        <v>1</v>
      </c>
      <c r="D186" s="7">
        <v>36894</v>
      </c>
      <c r="E186" s="67">
        <f>E185</f>
        <v>36873</v>
      </c>
      <c r="F186" s="4">
        <v>1</v>
      </c>
      <c r="G186" s="4">
        <v>1</v>
      </c>
      <c r="H186" s="10">
        <v>-0.15</v>
      </c>
      <c r="I186">
        <v>-7.5566398009446895E-2</v>
      </c>
      <c r="J186" s="12" t="e">
        <f>NA()</f>
        <v>#N/A</v>
      </c>
      <c r="K186" s="17" t="e">
        <v>#N/A</v>
      </c>
      <c r="L186" s="17" t="e">
        <v>#N/A</v>
      </c>
      <c r="M186" s="30" t="e">
        <v>#N/A</v>
      </c>
      <c r="N186" s="17" t="e">
        <v>#N/A</v>
      </c>
      <c r="O186" s="14" t="e">
        <v>#N/A</v>
      </c>
      <c r="P186" s="18" t="e">
        <v>#N/A</v>
      </c>
      <c r="Q186" s="68">
        <f>R185</f>
        <v>2.2999999999999998</v>
      </c>
      <c r="R186" s="68">
        <f>S185</f>
        <v>2.7</v>
      </c>
      <c r="S186" s="68">
        <f t="shared" ref="S186" si="366">T185</f>
        <v>1.8</v>
      </c>
      <c r="T186" s="68">
        <f>U185</f>
        <v>1.6</v>
      </c>
      <c r="U186" s="70">
        <v>1.7</v>
      </c>
      <c r="V186" s="69">
        <v>0</v>
      </c>
      <c r="W186" s="69">
        <v>0</v>
      </c>
      <c r="X186" s="69">
        <v>0</v>
      </c>
      <c r="Y186" s="69">
        <v>0</v>
      </c>
      <c r="Z186" s="68">
        <f>AA185</f>
        <v>2.4</v>
      </c>
      <c r="AA186" s="68">
        <f>AB185</f>
        <v>2.2000000000000002</v>
      </c>
      <c r="AB186" s="68">
        <f t="shared" ref="AB186" si="367">AC185</f>
        <v>3.1</v>
      </c>
      <c r="AC186" s="68">
        <f>AD185</f>
        <v>3.3</v>
      </c>
      <c r="AD186" s="70">
        <v>3.6</v>
      </c>
      <c r="AE186" s="69">
        <v>0</v>
      </c>
      <c r="AF186" s="69">
        <v>0</v>
      </c>
      <c r="AG186" s="69">
        <v>0</v>
      </c>
      <c r="AH186" s="69">
        <v>0</v>
      </c>
      <c r="AI186" s="68">
        <f>AJ185</f>
        <v>4</v>
      </c>
      <c r="AJ186" s="68">
        <f>AK185</f>
        <v>4.3</v>
      </c>
      <c r="AK186" s="68">
        <f t="shared" ref="AK186" si="368">AL185</f>
        <v>4.4000000000000004</v>
      </c>
      <c r="AL186" s="68">
        <f>AM185</f>
        <v>4.5999999999999996</v>
      </c>
      <c r="AM186" s="70">
        <v>4.7</v>
      </c>
      <c r="AN186" s="69">
        <v>0</v>
      </c>
      <c r="AO186" s="69">
        <v>0</v>
      </c>
      <c r="AP186" s="69">
        <v>0</v>
      </c>
      <c r="AQ186" s="69">
        <v>0</v>
      </c>
    </row>
    <row r="187" spans="2:43">
      <c r="B187">
        <f t="shared" si="361"/>
        <v>2001</v>
      </c>
      <c r="C187">
        <f t="shared" si="362"/>
        <v>1</v>
      </c>
      <c r="D187" s="7">
        <v>36922</v>
      </c>
      <c r="E187" s="6">
        <v>36916</v>
      </c>
      <c r="F187" s="4">
        <v>1</v>
      </c>
      <c r="G187" s="4">
        <v>0</v>
      </c>
      <c r="H187" s="10">
        <v>3.0009999999999998E-2</v>
      </c>
      <c r="I187">
        <v>-7.5566398009446895E-2</v>
      </c>
      <c r="J187" s="28">
        <v>13101</v>
      </c>
      <c r="K187" s="29">
        <v>36922</v>
      </c>
      <c r="L187" s="30">
        <v>36951</v>
      </c>
      <c r="M187" s="29">
        <v>36916</v>
      </c>
      <c r="N187" s="17">
        <v>36951</v>
      </c>
      <c r="O187" s="31">
        <v>-0.5</v>
      </c>
      <c r="P187" s="26">
        <v>6</v>
      </c>
      <c r="Q187" s="20">
        <v>2</v>
      </c>
      <c r="R187" s="20">
        <v>3</v>
      </c>
      <c r="S187" s="20">
        <v>1.8</v>
      </c>
      <c r="T187" s="20">
        <v>1.6</v>
      </c>
      <c r="U187" s="20">
        <v>1.6</v>
      </c>
      <c r="V187" s="19">
        <v>-0.3</v>
      </c>
      <c r="W187" s="19">
        <v>0.3</v>
      </c>
      <c r="X187" s="19">
        <v>0</v>
      </c>
      <c r="Y187" s="19">
        <v>0</v>
      </c>
      <c r="Z187" s="20">
        <v>2</v>
      </c>
      <c r="AA187" s="20">
        <v>-0.5</v>
      </c>
      <c r="AB187" s="20">
        <v>1.3</v>
      </c>
      <c r="AC187" s="20">
        <v>2.6</v>
      </c>
      <c r="AD187" s="20">
        <v>3.6</v>
      </c>
      <c r="AE187" s="19">
        <v>-0.4</v>
      </c>
      <c r="AF187" s="19">
        <v>-2.7</v>
      </c>
      <c r="AG187" s="19">
        <v>-1.8</v>
      </c>
      <c r="AH187" s="19">
        <v>-0.7</v>
      </c>
      <c r="AI187" s="15">
        <v>4</v>
      </c>
      <c r="AJ187" s="15">
        <v>4.4000000000000004</v>
      </c>
      <c r="AK187" s="15">
        <v>4.7</v>
      </c>
      <c r="AL187" s="15">
        <v>5</v>
      </c>
      <c r="AM187" s="15">
        <v>5.2</v>
      </c>
      <c r="AN187" s="19">
        <v>0</v>
      </c>
      <c r="AO187" s="19">
        <v>0.1</v>
      </c>
      <c r="AP187" s="19">
        <v>0.3</v>
      </c>
      <c r="AQ187" s="19">
        <v>0.4</v>
      </c>
    </row>
    <row r="188" spans="2:43">
      <c r="B188">
        <f t="shared" si="361"/>
        <v>2001</v>
      </c>
      <c r="C188">
        <f t="shared" si="362"/>
        <v>3</v>
      </c>
      <c r="D188" s="7">
        <v>36970</v>
      </c>
      <c r="E188" s="6">
        <v>36964</v>
      </c>
      <c r="F188" s="4">
        <v>1</v>
      </c>
      <c r="G188" s="4">
        <v>0</v>
      </c>
      <c r="H188" s="10">
        <v>-7.4999999999999997E-2</v>
      </c>
      <c r="I188">
        <v>-6.1151939897447598E-2</v>
      </c>
      <c r="J188" s="28">
        <v>32001</v>
      </c>
      <c r="K188" s="29">
        <v>36970</v>
      </c>
      <c r="L188" s="30">
        <v>36951</v>
      </c>
      <c r="M188" s="29">
        <v>36964</v>
      </c>
      <c r="N188" s="17">
        <v>36951</v>
      </c>
      <c r="O188" s="31">
        <v>-0.5</v>
      </c>
      <c r="P188" s="26">
        <v>5.5</v>
      </c>
      <c r="Q188" s="20">
        <v>1.9</v>
      </c>
      <c r="R188" s="20">
        <v>3.4</v>
      </c>
      <c r="S188" s="20">
        <v>1.3</v>
      </c>
      <c r="T188" s="20">
        <v>1.6</v>
      </c>
      <c r="U188" s="20">
        <v>1.7</v>
      </c>
      <c r="V188" s="19">
        <v>-0.1</v>
      </c>
      <c r="W188" s="19">
        <v>0.4</v>
      </c>
      <c r="X188" s="19">
        <v>-0.5</v>
      </c>
      <c r="Y188" s="19">
        <v>0</v>
      </c>
      <c r="Z188" s="20">
        <v>1</v>
      </c>
      <c r="AA188" s="20">
        <v>0.8</v>
      </c>
      <c r="AB188" s="20">
        <v>1.3</v>
      </c>
      <c r="AC188" s="20">
        <v>2.4</v>
      </c>
      <c r="AD188" s="20">
        <v>3.3</v>
      </c>
      <c r="AE188" s="19">
        <v>-1</v>
      </c>
      <c r="AF188" s="19">
        <v>1.3</v>
      </c>
      <c r="AG188" s="19">
        <v>0</v>
      </c>
      <c r="AH188" s="19">
        <v>-0.2</v>
      </c>
      <c r="AI188" s="15">
        <v>4</v>
      </c>
      <c r="AJ188" s="15">
        <v>4.3</v>
      </c>
      <c r="AK188" s="15">
        <v>4.5999999999999996</v>
      </c>
      <c r="AL188" s="15">
        <v>4.9000000000000004</v>
      </c>
      <c r="AM188" s="15">
        <v>5.2</v>
      </c>
      <c r="AN188" s="19">
        <v>0</v>
      </c>
      <c r="AO188" s="19">
        <v>-0.1</v>
      </c>
      <c r="AP188" s="19">
        <v>-0.1</v>
      </c>
      <c r="AQ188" s="19">
        <v>-0.1</v>
      </c>
    </row>
    <row r="189" spans="2:43">
      <c r="B189">
        <f t="shared" si="361"/>
        <v>2001</v>
      </c>
      <c r="C189">
        <f t="shared" si="362"/>
        <v>4</v>
      </c>
      <c r="D189" s="7">
        <v>36999</v>
      </c>
      <c r="E189" s="67">
        <f>E188</f>
        <v>36964</v>
      </c>
      <c r="F189" s="4">
        <v>1</v>
      </c>
      <c r="G189" s="4">
        <v>1</v>
      </c>
      <c r="H189" s="10">
        <v>-0.37</v>
      </c>
      <c r="I189">
        <v>-0.342562366200104</v>
      </c>
      <c r="J189" s="12" t="e">
        <f>NA()</f>
        <v>#N/A</v>
      </c>
      <c r="K189" s="17" t="e">
        <v>#N/A</v>
      </c>
      <c r="L189" s="17" t="e">
        <v>#N/A</v>
      </c>
      <c r="M189" s="30" t="e">
        <v>#N/A</v>
      </c>
      <c r="N189" s="17" t="e">
        <v>#N/A</v>
      </c>
      <c r="O189" s="14" t="e">
        <v>#N/A</v>
      </c>
      <c r="P189" s="18" t="e">
        <v>#N/A</v>
      </c>
      <c r="Q189" s="68">
        <f>R188</f>
        <v>3.4</v>
      </c>
      <c r="R189" s="68">
        <f>S188</f>
        <v>1.3</v>
      </c>
      <c r="S189" s="68">
        <f t="shared" ref="S189" si="369">T188</f>
        <v>1.6</v>
      </c>
      <c r="T189" s="68">
        <f>U188</f>
        <v>1.7</v>
      </c>
      <c r="U189" s="70">
        <v>1.9</v>
      </c>
      <c r="V189" s="69">
        <v>0</v>
      </c>
      <c r="W189" s="69">
        <v>0</v>
      </c>
      <c r="X189" s="69">
        <v>0</v>
      </c>
      <c r="Y189" s="69">
        <v>0</v>
      </c>
      <c r="Z189" s="68">
        <f>AA188</f>
        <v>0.8</v>
      </c>
      <c r="AA189" s="68">
        <f>AB188</f>
        <v>1.3</v>
      </c>
      <c r="AB189" s="68">
        <f t="shared" ref="AB189" si="370">AC188</f>
        <v>2.4</v>
      </c>
      <c r="AC189" s="68">
        <f>AD188</f>
        <v>3.3</v>
      </c>
      <c r="AD189" s="70">
        <v>3.5</v>
      </c>
      <c r="AE189" s="69">
        <v>0</v>
      </c>
      <c r="AF189" s="69">
        <v>0</v>
      </c>
      <c r="AG189" s="69">
        <v>0</v>
      </c>
      <c r="AH189" s="69">
        <v>0</v>
      </c>
      <c r="AI189" s="68">
        <f>AJ188</f>
        <v>4.3</v>
      </c>
      <c r="AJ189" s="68">
        <f>AK188</f>
        <v>4.5999999999999996</v>
      </c>
      <c r="AK189" s="68">
        <f t="shared" ref="AK189" si="371">AL188</f>
        <v>4.9000000000000004</v>
      </c>
      <c r="AL189" s="68">
        <f>AM188</f>
        <v>5.2</v>
      </c>
      <c r="AM189" s="70">
        <v>5.4</v>
      </c>
      <c r="AN189" s="69">
        <v>0</v>
      </c>
      <c r="AO189" s="69">
        <v>0</v>
      </c>
      <c r="AP189" s="69">
        <v>0</v>
      </c>
      <c r="AQ189" s="69">
        <v>0</v>
      </c>
    </row>
    <row r="190" spans="2:43">
      <c r="B190">
        <f t="shared" si="361"/>
        <v>2001</v>
      </c>
      <c r="C190">
        <f t="shared" si="362"/>
        <v>5</v>
      </c>
      <c r="D190" s="7">
        <v>37026</v>
      </c>
      <c r="E190" s="6">
        <v>37020</v>
      </c>
      <c r="F190" s="4">
        <v>1</v>
      </c>
      <c r="G190" s="4">
        <v>0</v>
      </c>
      <c r="H190" s="10">
        <v>-0.14000000000000001</v>
      </c>
      <c r="I190">
        <v>-7.0740258700669897E-2</v>
      </c>
      <c r="J190" s="24">
        <v>51501</v>
      </c>
      <c r="K190" s="27">
        <v>37026</v>
      </c>
      <c r="L190" s="17">
        <v>37043</v>
      </c>
      <c r="M190" s="29">
        <v>37020</v>
      </c>
      <c r="N190" s="17">
        <v>37043</v>
      </c>
      <c r="O190" s="13">
        <v>-0.5</v>
      </c>
      <c r="P190" s="26">
        <v>4.5</v>
      </c>
      <c r="Q190" s="20">
        <v>3.2</v>
      </c>
      <c r="R190" s="20">
        <v>3.1</v>
      </c>
      <c r="S190" s="20">
        <v>1.3</v>
      </c>
      <c r="T190" s="20">
        <v>1.3</v>
      </c>
      <c r="U190" s="20">
        <v>2</v>
      </c>
      <c r="V190" s="19">
        <v>-0.2</v>
      </c>
      <c r="W190" s="19">
        <v>1.8</v>
      </c>
      <c r="X190" s="19">
        <v>-0.3</v>
      </c>
      <c r="Y190" s="19">
        <v>-0.4</v>
      </c>
      <c r="Z190" s="20">
        <v>2</v>
      </c>
      <c r="AA190" s="20">
        <v>0.7</v>
      </c>
      <c r="AB190" s="20">
        <v>1.5</v>
      </c>
      <c r="AC190" s="20">
        <v>3.4</v>
      </c>
      <c r="AD190" s="20">
        <v>3.3</v>
      </c>
      <c r="AE190" s="19">
        <v>1.2</v>
      </c>
      <c r="AF190" s="19">
        <v>-0.6</v>
      </c>
      <c r="AG190" s="19">
        <v>-0.9</v>
      </c>
      <c r="AH190" s="19">
        <v>0.1</v>
      </c>
      <c r="AI190" s="15">
        <v>4.2</v>
      </c>
      <c r="AJ190" s="15">
        <v>4.5999999999999996</v>
      </c>
      <c r="AK190" s="15">
        <v>4.9000000000000004</v>
      </c>
      <c r="AL190" s="15">
        <v>5.0999999999999996</v>
      </c>
      <c r="AM190" s="15">
        <v>5.3</v>
      </c>
      <c r="AN190" s="19">
        <v>-0.1</v>
      </c>
      <c r="AO190" s="19">
        <v>0</v>
      </c>
      <c r="AP190" s="19">
        <v>0</v>
      </c>
      <c r="AQ190" s="19">
        <v>-0.1</v>
      </c>
    </row>
    <row r="191" spans="2:43">
      <c r="B191">
        <f t="shared" si="361"/>
        <v>2001</v>
      </c>
      <c r="C191">
        <f t="shared" si="362"/>
        <v>6</v>
      </c>
      <c r="D191" s="7">
        <v>37069</v>
      </c>
      <c r="E191" s="6">
        <v>37062</v>
      </c>
      <c r="F191" s="4">
        <v>1</v>
      </c>
      <c r="G191" s="4">
        <v>0</v>
      </c>
      <c r="H191" s="10">
        <v>7.4999999999999997E-2</v>
      </c>
      <c r="I191">
        <v>7.9041907952147994E-2</v>
      </c>
      <c r="J191" s="24">
        <v>62701</v>
      </c>
      <c r="K191" s="27">
        <v>37069</v>
      </c>
      <c r="L191" s="17">
        <v>37043</v>
      </c>
      <c r="M191" s="29">
        <v>37062</v>
      </c>
      <c r="N191" s="17">
        <v>37043</v>
      </c>
      <c r="O191" s="13">
        <v>-0.25</v>
      </c>
      <c r="P191" s="26">
        <v>4</v>
      </c>
      <c r="Q191" s="20">
        <v>3.2</v>
      </c>
      <c r="R191" s="20">
        <v>2.9</v>
      </c>
      <c r="S191" s="20">
        <v>1.3</v>
      </c>
      <c r="T191" s="20">
        <v>1.3</v>
      </c>
      <c r="U191" s="20">
        <v>1.9</v>
      </c>
      <c r="V191" s="19">
        <v>0</v>
      </c>
      <c r="W191" s="19">
        <v>-0.2</v>
      </c>
      <c r="X191" s="19">
        <v>0</v>
      </c>
      <c r="Y191" s="19">
        <v>0</v>
      </c>
      <c r="Z191" s="20">
        <v>1.2</v>
      </c>
      <c r="AA191" s="20">
        <v>0.6</v>
      </c>
      <c r="AB191" s="20">
        <v>1.3</v>
      </c>
      <c r="AC191" s="20">
        <v>2.9</v>
      </c>
      <c r="AD191" s="20">
        <v>3.2</v>
      </c>
      <c r="AE191" s="19">
        <v>-0.8</v>
      </c>
      <c r="AF191" s="19">
        <v>-0.1</v>
      </c>
      <c r="AG191" s="19">
        <v>-0.2</v>
      </c>
      <c r="AH191" s="19">
        <v>-0.5</v>
      </c>
      <c r="AI191" s="15">
        <v>4.2</v>
      </c>
      <c r="AJ191" s="15">
        <v>4.5</v>
      </c>
      <c r="AK191" s="15">
        <v>4.9000000000000004</v>
      </c>
      <c r="AL191" s="15">
        <v>5.2</v>
      </c>
      <c r="AM191" s="15">
        <v>5.4</v>
      </c>
      <c r="AN191" s="19">
        <v>0</v>
      </c>
      <c r="AO191" s="19">
        <v>-0.1</v>
      </c>
      <c r="AP191" s="19">
        <v>0</v>
      </c>
      <c r="AQ191" s="19">
        <v>0.1</v>
      </c>
    </row>
    <row r="192" spans="2:43">
      <c r="B192">
        <f t="shared" si="361"/>
        <v>2001</v>
      </c>
      <c r="C192">
        <f t="shared" si="362"/>
        <v>8</v>
      </c>
      <c r="D192" s="7">
        <v>37124</v>
      </c>
      <c r="E192" s="6">
        <v>37119</v>
      </c>
      <c r="F192" s="4">
        <v>1</v>
      </c>
      <c r="G192" s="4">
        <v>0</v>
      </c>
      <c r="H192" s="10">
        <v>-0.02</v>
      </c>
      <c r="I192">
        <v>5.9899380292182003E-2</v>
      </c>
      <c r="J192" s="24">
        <v>82101</v>
      </c>
      <c r="K192" s="27">
        <v>37124</v>
      </c>
      <c r="L192" s="17">
        <v>37135</v>
      </c>
      <c r="M192" s="29">
        <v>37119</v>
      </c>
      <c r="N192" s="17">
        <v>37135</v>
      </c>
      <c r="O192" s="13">
        <v>-0.25</v>
      </c>
      <c r="P192" s="26">
        <v>3.75</v>
      </c>
      <c r="Q192" s="20">
        <v>2.2000000000000002</v>
      </c>
      <c r="R192" s="20">
        <v>1.5</v>
      </c>
      <c r="S192" s="20">
        <v>1.8</v>
      </c>
      <c r="T192" s="20">
        <v>2.2000000000000002</v>
      </c>
      <c r="U192" s="20">
        <v>1.7</v>
      </c>
      <c r="V192" s="19">
        <v>-0.7</v>
      </c>
      <c r="W192" s="19">
        <v>0.2</v>
      </c>
      <c r="X192" s="19">
        <v>0.5</v>
      </c>
      <c r="Y192" s="19">
        <v>0.3</v>
      </c>
      <c r="Z192" s="20">
        <v>0.2</v>
      </c>
      <c r="AA192" s="20">
        <v>1</v>
      </c>
      <c r="AB192" s="20">
        <v>1.5</v>
      </c>
      <c r="AC192" s="20">
        <v>2.4</v>
      </c>
      <c r="AD192" s="20">
        <v>2.4</v>
      </c>
      <c r="AE192" s="19">
        <v>-0.4</v>
      </c>
      <c r="AF192" s="19">
        <v>-0.3</v>
      </c>
      <c r="AG192" s="19">
        <v>-1.4</v>
      </c>
      <c r="AH192" s="19">
        <v>-0.8</v>
      </c>
      <c r="AI192" s="15">
        <v>4.5</v>
      </c>
      <c r="AJ192" s="15">
        <v>4.7</v>
      </c>
      <c r="AK192" s="15">
        <v>5.0999999999999996</v>
      </c>
      <c r="AL192" s="15">
        <v>5.3</v>
      </c>
      <c r="AM192" s="15">
        <v>5.5</v>
      </c>
      <c r="AN192" s="19">
        <v>0</v>
      </c>
      <c r="AO192" s="19">
        <v>-0.2</v>
      </c>
      <c r="AP192" s="19">
        <v>-0.1</v>
      </c>
      <c r="AQ192" s="19">
        <v>-0.1</v>
      </c>
    </row>
    <row r="193" spans="2:43">
      <c r="B193">
        <f t="shared" si="361"/>
        <v>2001</v>
      </c>
      <c r="C193">
        <f t="shared" si="362"/>
        <v>9</v>
      </c>
      <c r="D193" s="7">
        <v>37151</v>
      </c>
      <c r="E193" s="67">
        <f>E192</f>
        <v>37119</v>
      </c>
      <c r="F193" s="4">
        <v>1</v>
      </c>
      <c r="G193" s="4">
        <v>1</v>
      </c>
      <c r="H193" s="10">
        <v>-4.4999999999999998E-2</v>
      </c>
      <c r="I193">
        <v>9.2830166911324601E-3</v>
      </c>
      <c r="J193" s="12" t="e">
        <f>NA()</f>
        <v>#N/A</v>
      </c>
      <c r="K193" s="17" t="e">
        <v>#N/A</v>
      </c>
      <c r="L193" s="17" t="e">
        <v>#N/A</v>
      </c>
      <c r="M193" s="30" t="e">
        <v>#N/A</v>
      </c>
      <c r="N193" s="17" t="e">
        <v>#N/A</v>
      </c>
      <c r="O193" s="14" t="e">
        <v>#N/A</v>
      </c>
      <c r="P193" s="18" t="e">
        <v>#N/A</v>
      </c>
      <c r="Q193" s="68">
        <f>R192</f>
        <v>1.5</v>
      </c>
      <c r="R193" s="68">
        <f>S192</f>
        <v>1.8</v>
      </c>
      <c r="S193" s="68">
        <f t="shared" ref="S193" si="372">T192</f>
        <v>2.2000000000000002</v>
      </c>
      <c r="T193" s="68">
        <f>U192</f>
        <v>1.7</v>
      </c>
      <c r="U193" s="70">
        <v>1.8</v>
      </c>
      <c r="V193" s="69">
        <v>0</v>
      </c>
      <c r="W193" s="69">
        <v>0</v>
      </c>
      <c r="X193" s="69">
        <v>0</v>
      </c>
      <c r="Y193" s="69">
        <v>0</v>
      </c>
      <c r="Z193" s="68">
        <f>AA192</f>
        <v>1</v>
      </c>
      <c r="AA193" s="68">
        <f>AB192</f>
        <v>1.5</v>
      </c>
      <c r="AB193" s="68">
        <f t="shared" ref="AB193" si="373">AC192</f>
        <v>2.4</v>
      </c>
      <c r="AC193" s="68">
        <f>AD192</f>
        <v>2.4</v>
      </c>
      <c r="AD193" s="70">
        <v>2.9</v>
      </c>
      <c r="AE193" s="69">
        <v>0</v>
      </c>
      <c r="AF193" s="69">
        <v>0</v>
      </c>
      <c r="AG193" s="69">
        <v>0</v>
      </c>
      <c r="AH193" s="69">
        <v>0</v>
      </c>
      <c r="AI193" s="68">
        <f>AJ192</f>
        <v>4.7</v>
      </c>
      <c r="AJ193" s="68">
        <f>AK192</f>
        <v>5.0999999999999996</v>
      </c>
      <c r="AK193" s="68">
        <f t="shared" ref="AK193" si="374">AL192</f>
        <v>5.3</v>
      </c>
      <c r="AL193" s="68">
        <f>AM192</f>
        <v>5.5</v>
      </c>
      <c r="AM193" s="70">
        <v>5.6</v>
      </c>
      <c r="AN193" s="69">
        <v>0</v>
      </c>
      <c r="AO193" s="69">
        <v>0</v>
      </c>
      <c r="AP193" s="69">
        <v>0</v>
      </c>
      <c r="AQ193" s="69">
        <v>0</v>
      </c>
    </row>
    <row r="194" spans="2:43">
      <c r="B194">
        <f t="shared" si="361"/>
        <v>2001</v>
      </c>
      <c r="C194">
        <f t="shared" si="362"/>
        <v>10</v>
      </c>
      <c r="D194" s="7">
        <v>37166</v>
      </c>
      <c r="E194" s="6">
        <v>37161</v>
      </c>
      <c r="F194" s="4">
        <v>1</v>
      </c>
      <c r="G194" s="4">
        <v>0</v>
      </c>
      <c r="H194" s="10">
        <v>-0.04</v>
      </c>
      <c r="I194">
        <v>2.58991811602742E-3</v>
      </c>
      <c r="J194" s="24">
        <v>100201</v>
      </c>
      <c r="K194" s="27">
        <v>37166</v>
      </c>
      <c r="L194" s="17">
        <v>37226</v>
      </c>
      <c r="M194" s="29">
        <v>37161</v>
      </c>
      <c r="N194" s="17">
        <v>37135</v>
      </c>
      <c r="O194" s="13">
        <v>-0.5</v>
      </c>
      <c r="P194" s="26">
        <v>3</v>
      </c>
      <c r="Q194" s="20">
        <v>2.2000000000000002</v>
      </c>
      <c r="R194" s="20">
        <v>3.7</v>
      </c>
      <c r="S194" s="20">
        <v>0.1</v>
      </c>
      <c r="T194" s="20">
        <v>1.8</v>
      </c>
      <c r="U194" s="20">
        <v>1.5</v>
      </c>
      <c r="V194" s="19">
        <v>0</v>
      </c>
      <c r="W194" s="19">
        <v>2.2000000000000002</v>
      </c>
      <c r="X194" s="19">
        <v>-1.7</v>
      </c>
      <c r="Y194" s="19">
        <v>-0.4</v>
      </c>
      <c r="Z194" s="20">
        <v>0.4</v>
      </c>
      <c r="AA194" s="20">
        <v>-0.6</v>
      </c>
      <c r="AB194" s="20">
        <v>-0.7</v>
      </c>
      <c r="AC194" s="20">
        <v>-0.1</v>
      </c>
      <c r="AD194" s="20">
        <v>1.4</v>
      </c>
      <c r="AE194" s="19">
        <v>0.2</v>
      </c>
      <c r="AF194" s="19">
        <v>-1.6</v>
      </c>
      <c r="AG194" s="19">
        <v>-2.2000000000000002</v>
      </c>
      <c r="AH194" s="19">
        <v>-2.5</v>
      </c>
      <c r="AI194" s="15">
        <v>4.5</v>
      </c>
      <c r="AJ194" s="15">
        <v>4.8</v>
      </c>
      <c r="AK194" s="15">
        <v>5.4</v>
      </c>
      <c r="AL194" s="15">
        <v>5.8</v>
      </c>
      <c r="AM194" s="15">
        <v>6.1</v>
      </c>
      <c r="AN194" s="19">
        <v>0</v>
      </c>
      <c r="AO194" s="19">
        <v>0.1</v>
      </c>
      <c r="AP194" s="19">
        <v>0.3</v>
      </c>
      <c r="AQ194" s="19">
        <v>0.5</v>
      </c>
    </row>
    <row r="195" spans="2:43">
      <c r="B195">
        <f t="shared" ref="B195:B258" si="375">YEAR(D195)</f>
        <v>2001</v>
      </c>
      <c r="C195">
        <f t="shared" ref="C195:C258" si="376">MONTH(D195)</f>
        <v>11</v>
      </c>
      <c r="D195" s="7">
        <v>37201</v>
      </c>
      <c r="E195" s="6">
        <v>37195</v>
      </c>
      <c r="F195" s="4">
        <v>1</v>
      </c>
      <c r="G195" s="4">
        <v>0</v>
      </c>
      <c r="H195" s="10">
        <v>-0.14000000000000001</v>
      </c>
      <c r="I195">
        <v>-3.2133956557571501E-2</v>
      </c>
      <c r="J195" s="24">
        <v>110601</v>
      </c>
      <c r="K195" s="27">
        <v>37201</v>
      </c>
      <c r="L195" s="17">
        <v>37226</v>
      </c>
      <c r="M195" s="29">
        <v>37195</v>
      </c>
      <c r="N195" s="17">
        <v>37226</v>
      </c>
      <c r="O195" s="13">
        <v>-0.5</v>
      </c>
      <c r="P195" s="26">
        <v>2.5</v>
      </c>
      <c r="Q195" s="20">
        <v>2.1</v>
      </c>
      <c r="R195" s="20">
        <v>0.4</v>
      </c>
      <c r="S195" s="20">
        <v>2</v>
      </c>
      <c r="T195" s="20">
        <v>1.7</v>
      </c>
      <c r="U195" s="20">
        <v>1.7</v>
      </c>
      <c r="V195" s="19">
        <v>-1.6</v>
      </c>
      <c r="W195" s="19">
        <v>0.3</v>
      </c>
      <c r="X195" s="19">
        <v>0.2</v>
      </c>
      <c r="Y195" s="19">
        <v>0.2</v>
      </c>
      <c r="Z195" s="20">
        <v>-0.4</v>
      </c>
      <c r="AA195" s="20">
        <v>-2.4</v>
      </c>
      <c r="AB195" s="20">
        <v>-0.1</v>
      </c>
      <c r="AC195" s="20">
        <v>2.8</v>
      </c>
      <c r="AD195" s="20">
        <v>3.5</v>
      </c>
      <c r="AE195" s="19">
        <v>0.2</v>
      </c>
      <c r="AF195" s="19">
        <v>-1.7</v>
      </c>
      <c r="AG195" s="19">
        <v>0</v>
      </c>
      <c r="AH195" s="19">
        <v>1.4</v>
      </c>
      <c r="AI195" s="15">
        <v>4.8</v>
      </c>
      <c r="AJ195" s="15">
        <v>5.4</v>
      </c>
      <c r="AK195" s="15">
        <v>5.9</v>
      </c>
      <c r="AL195" s="15">
        <v>6</v>
      </c>
      <c r="AM195" s="15">
        <v>6.1</v>
      </c>
      <c r="AN195" s="19">
        <v>0</v>
      </c>
      <c r="AO195" s="19">
        <v>0</v>
      </c>
      <c r="AP195" s="19">
        <v>0.1</v>
      </c>
      <c r="AQ195" s="19">
        <v>-0.1</v>
      </c>
    </row>
    <row r="196" spans="2:43">
      <c r="B196">
        <f t="shared" si="375"/>
        <v>2001</v>
      </c>
      <c r="C196">
        <f t="shared" si="376"/>
        <v>12</v>
      </c>
      <c r="D196" s="7">
        <v>37236</v>
      </c>
      <c r="E196" s="6">
        <v>37230</v>
      </c>
      <c r="F196" s="4">
        <v>1</v>
      </c>
      <c r="G196" s="4">
        <v>0</v>
      </c>
      <c r="H196" s="10">
        <v>-0.03</v>
      </c>
      <c r="I196">
        <v>5.43860475398288E-2</v>
      </c>
      <c r="J196" s="24">
        <v>121101</v>
      </c>
      <c r="K196" s="27">
        <v>37236</v>
      </c>
      <c r="L196" s="17">
        <v>37226</v>
      </c>
      <c r="M196" s="29">
        <v>37230</v>
      </c>
      <c r="N196" s="17">
        <v>37226</v>
      </c>
      <c r="O196" s="13">
        <v>-0.25</v>
      </c>
      <c r="P196" s="26">
        <v>2</v>
      </c>
      <c r="Q196" s="20">
        <v>2.2000000000000002</v>
      </c>
      <c r="R196" s="20">
        <v>0.3</v>
      </c>
      <c r="S196" s="20">
        <v>1.9</v>
      </c>
      <c r="T196" s="20">
        <v>1.6</v>
      </c>
      <c r="U196" s="20">
        <v>1.5</v>
      </c>
      <c r="V196" s="19">
        <v>0.1</v>
      </c>
      <c r="W196" s="19">
        <v>-0.1</v>
      </c>
      <c r="X196" s="19">
        <v>-0.1</v>
      </c>
      <c r="Y196" s="19">
        <v>-0.1</v>
      </c>
      <c r="Z196" s="20">
        <v>-1.1000000000000001</v>
      </c>
      <c r="AA196" s="20">
        <v>-2.1</v>
      </c>
      <c r="AB196" s="20">
        <v>-0.1</v>
      </c>
      <c r="AC196" s="20">
        <v>3.3</v>
      </c>
      <c r="AD196" s="20">
        <v>4.5</v>
      </c>
      <c r="AE196" s="19">
        <v>-0.7</v>
      </c>
      <c r="AF196" s="19">
        <v>0.3</v>
      </c>
      <c r="AG196" s="19">
        <v>0</v>
      </c>
      <c r="AH196" s="19">
        <v>0.5</v>
      </c>
      <c r="AI196" s="15">
        <v>4.8</v>
      </c>
      <c r="AJ196" s="15">
        <v>5.5</v>
      </c>
      <c r="AK196" s="15">
        <v>5.9</v>
      </c>
      <c r="AL196" s="15">
        <v>6.1</v>
      </c>
      <c r="AM196" s="15">
        <v>6.1</v>
      </c>
      <c r="AN196" s="19">
        <v>0</v>
      </c>
      <c r="AO196" s="19">
        <v>0.1</v>
      </c>
      <c r="AP196" s="19">
        <v>0</v>
      </c>
      <c r="AQ196" s="19">
        <v>0.1</v>
      </c>
    </row>
    <row r="197" spans="2:43">
      <c r="B197">
        <f t="shared" si="375"/>
        <v>2002</v>
      </c>
      <c r="C197">
        <f t="shared" si="376"/>
        <v>1</v>
      </c>
      <c r="D197" s="7">
        <v>37286</v>
      </c>
      <c r="E197" s="6">
        <v>37279</v>
      </c>
      <c r="F197" s="4">
        <v>1</v>
      </c>
      <c r="G197" s="4">
        <v>0</v>
      </c>
      <c r="H197" s="10">
        <v>0.02</v>
      </c>
      <c r="I197">
        <v>3.8551180074746901E-2</v>
      </c>
      <c r="J197" s="24">
        <v>13002</v>
      </c>
      <c r="K197" s="27">
        <v>37286</v>
      </c>
      <c r="L197" s="17">
        <v>37316</v>
      </c>
      <c r="M197" s="29">
        <v>37279</v>
      </c>
      <c r="N197" s="17">
        <v>37316</v>
      </c>
      <c r="O197" s="13">
        <v>0</v>
      </c>
      <c r="P197" s="26">
        <v>1.75</v>
      </c>
      <c r="Q197" s="20">
        <v>0.2</v>
      </c>
      <c r="R197" s="20">
        <v>1.7</v>
      </c>
      <c r="S197" s="20">
        <v>1.6</v>
      </c>
      <c r="T197" s="20">
        <v>1.5</v>
      </c>
      <c r="U197" s="20">
        <v>1.4</v>
      </c>
      <c r="V197" s="19">
        <v>-0.1</v>
      </c>
      <c r="W197" s="19">
        <v>-0.2</v>
      </c>
      <c r="X197" s="19">
        <v>0</v>
      </c>
      <c r="Y197" s="19">
        <v>0</v>
      </c>
      <c r="Z197" s="20">
        <v>-0.3</v>
      </c>
      <c r="AA197" s="20">
        <v>1.5</v>
      </c>
      <c r="AB197" s="20">
        <v>2.5</v>
      </c>
      <c r="AC197" s="20">
        <v>3.5</v>
      </c>
      <c r="AD197" s="20">
        <v>3.3</v>
      </c>
      <c r="AE197" s="19">
        <v>1.8</v>
      </c>
      <c r="AF197" s="19">
        <v>1.6</v>
      </c>
      <c r="AG197" s="19">
        <v>-0.8</v>
      </c>
      <c r="AH197" s="19">
        <v>-1</v>
      </c>
      <c r="AI197" s="15">
        <v>5.6</v>
      </c>
      <c r="AJ197" s="15">
        <v>5.9</v>
      </c>
      <c r="AK197" s="15">
        <v>6</v>
      </c>
      <c r="AL197" s="15">
        <v>6</v>
      </c>
      <c r="AM197" s="15">
        <v>6</v>
      </c>
      <c r="AN197" s="19">
        <v>0.1</v>
      </c>
      <c r="AO197" s="19">
        <v>0</v>
      </c>
      <c r="AP197" s="19">
        <v>-0.1</v>
      </c>
      <c r="AQ197" s="19">
        <v>-0.1</v>
      </c>
    </row>
    <row r="198" spans="2:43">
      <c r="B198">
        <f t="shared" si="375"/>
        <v>2002</v>
      </c>
      <c r="C198">
        <f t="shared" si="376"/>
        <v>3</v>
      </c>
      <c r="D198" s="7">
        <v>37334</v>
      </c>
      <c r="E198" s="6">
        <v>37328</v>
      </c>
      <c r="F198" s="4">
        <v>1</v>
      </c>
      <c r="G198" s="4">
        <v>0</v>
      </c>
      <c r="H198" s="10">
        <v>-4.4999999999999998E-2</v>
      </c>
      <c r="I198">
        <v>-2.36829832883696E-2</v>
      </c>
      <c r="J198" s="24">
        <v>31902</v>
      </c>
      <c r="K198" s="27">
        <v>37334</v>
      </c>
      <c r="L198" s="17">
        <v>37316</v>
      </c>
      <c r="M198" s="29">
        <v>37328</v>
      </c>
      <c r="N198" s="17">
        <v>37316</v>
      </c>
      <c r="O198" s="13">
        <v>0</v>
      </c>
      <c r="P198" s="26">
        <v>1.75</v>
      </c>
      <c r="Q198" s="20">
        <v>-0.3</v>
      </c>
      <c r="R198" s="20">
        <v>1.5</v>
      </c>
      <c r="S198" s="20">
        <v>2.1</v>
      </c>
      <c r="T198" s="20">
        <v>1.6</v>
      </c>
      <c r="U198" s="20">
        <v>1.4</v>
      </c>
      <c r="V198" s="19">
        <v>-0.5</v>
      </c>
      <c r="W198" s="19">
        <v>-0.2</v>
      </c>
      <c r="X198" s="19">
        <v>0.5</v>
      </c>
      <c r="Y198" s="19">
        <v>0.1</v>
      </c>
      <c r="Z198" s="20">
        <v>1.4</v>
      </c>
      <c r="AA198" s="20">
        <v>3.8</v>
      </c>
      <c r="AB198" s="20">
        <v>3.5</v>
      </c>
      <c r="AC198" s="20">
        <v>3.6</v>
      </c>
      <c r="AD198" s="20">
        <v>3.6</v>
      </c>
      <c r="AE198" s="19">
        <v>1.7</v>
      </c>
      <c r="AF198" s="19">
        <v>2.2999999999999998</v>
      </c>
      <c r="AG198" s="19">
        <v>1</v>
      </c>
      <c r="AH198" s="19">
        <v>0.1</v>
      </c>
      <c r="AI198" s="15">
        <v>5.6</v>
      </c>
      <c r="AJ198" s="15">
        <v>5.6</v>
      </c>
      <c r="AK198" s="15">
        <v>5.7</v>
      </c>
      <c r="AL198" s="15">
        <v>5.6</v>
      </c>
      <c r="AM198" s="15">
        <v>5.5</v>
      </c>
      <c r="AN198" s="19">
        <v>0</v>
      </c>
      <c r="AO198" s="19">
        <v>-0.3</v>
      </c>
      <c r="AP198" s="19">
        <v>-0.3</v>
      </c>
      <c r="AQ198" s="19">
        <v>-0.4</v>
      </c>
    </row>
    <row r="199" spans="2:43">
      <c r="B199">
        <f t="shared" si="375"/>
        <v>2002</v>
      </c>
      <c r="C199">
        <f t="shared" si="376"/>
        <v>5</v>
      </c>
      <c r="D199" s="7">
        <v>37383</v>
      </c>
      <c r="E199" s="6">
        <v>37377</v>
      </c>
      <c r="F199" s="4">
        <v>1</v>
      </c>
      <c r="G199" s="4">
        <v>0</v>
      </c>
      <c r="H199" s="10">
        <v>-0.02</v>
      </c>
      <c r="I199">
        <v>1.11077502853265E-2</v>
      </c>
      <c r="J199" s="24">
        <v>50702</v>
      </c>
      <c r="K199" s="27">
        <v>37383</v>
      </c>
      <c r="L199" s="17">
        <v>37408</v>
      </c>
      <c r="M199" s="29">
        <v>37377</v>
      </c>
      <c r="N199" s="17">
        <v>37408</v>
      </c>
      <c r="O199" s="13">
        <v>0</v>
      </c>
      <c r="P199" s="26">
        <v>1.75</v>
      </c>
      <c r="Q199" s="20">
        <v>0.8</v>
      </c>
      <c r="R199" s="20">
        <v>2.1</v>
      </c>
      <c r="S199" s="20">
        <v>1.3</v>
      </c>
      <c r="T199" s="20">
        <v>1.4</v>
      </c>
      <c r="U199" s="20">
        <v>1.8</v>
      </c>
      <c r="V199" s="19">
        <v>-0.7</v>
      </c>
      <c r="W199" s="19">
        <v>0</v>
      </c>
      <c r="X199" s="19">
        <v>-0.3</v>
      </c>
      <c r="Y199" s="19">
        <v>0</v>
      </c>
      <c r="Z199" s="20">
        <v>5.8</v>
      </c>
      <c r="AA199" s="20">
        <v>2</v>
      </c>
      <c r="AB199" s="20">
        <v>3.2</v>
      </c>
      <c r="AC199" s="20">
        <v>3.9</v>
      </c>
      <c r="AD199" s="20">
        <v>4.0999999999999996</v>
      </c>
      <c r="AE199" s="19">
        <v>2</v>
      </c>
      <c r="AF199" s="19">
        <v>-1.5</v>
      </c>
      <c r="AG199" s="19">
        <v>-0.4</v>
      </c>
      <c r="AH199" s="19">
        <v>0.3</v>
      </c>
      <c r="AI199" s="15">
        <v>5.6</v>
      </c>
      <c r="AJ199" s="15">
        <v>5.9</v>
      </c>
      <c r="AK199" s="15">
        <v>5.9</v>
      </c>
      <c r="AL199" s="15">
        <v>5.7</v>
      </c>
      <c r="AM199" s="15">
        <v>5.6</v>
      </c>
      <c r="AN199" s="19">
        <v>0</v>
      </c>
      <c r="AO199" s="19">
        <v>0.2</v>
      </c>
      <c r="AP199" s="19">
        <v>0.3</v>
      </c>
      <c r="AQ199" s="19">
        <v>0.2</v>
      </c>
    </row>
    <row r="200" spans="2:43">
      <c r="B200">
        <f t="shared" si="375"/>
        <v>2002</v>
      </c>
      <c r="C200">
        <f t="shared" si="376"/>
        <v>6</v>
      </c>
      <c r="D200" s="7">
        <v>37433</v>
      </c>
      <c r="E200" s="6">
        <v>37427</v>
      </c>
      <c r="F200" s="4">
        <v>1</v>
      </c>
      <c r="G200" s="4">
        <v>0</v>
      </c>
      <c r="H200" s="10">
        <v>-0.01</v>
      </c>
      <c r="I200">
        <v>1.26503949150186E-2</v>
      </c>
      <c r="J200" s="24">
        <v>62602</v>
      </c>
      <c r="K200" s="27">
        <v>37433</v>
      </c>
      <c r="L200" s="17">
        <v>37408</v>
      </c>
      <c r="M200" s="29">
        <v>37427</v>
      </c>
      <c r="N200" s="17">
        <v>37408</v>
      </c>
      <c r="O200" s="13">
        <v>0</v>
      </c>
      <c r="P200" s="26">
        <v>1.75</v>
      </c>
      <c r="Q200" s="20">
        <v>1.1000000000000001</v>
      </c>
      <c r="R200" s="20">
        <v>1.3</v>
      </c>
      <c r="S200" s="20">
        <v>0.9</v>
      </c>
      <c r="T200" s="20">
        <v>1.4</v>
      </c>
      <c r="U200" s="20">
        <v>1.8</v>
      </c>
      <c r="V200" s="19">
        <v>0.3</v>
      </c>
      <c r="W200" s="19">
        <v>-0.8</v>
      </c>
      <c r="X200" s="19">
        <v>-0.4</v>
      </c>
      <c r="Y200" s="19">
        <v>0</v>
      </c>
      <c r="Z200" s="20">
        <v>5.5</v>
      </c>
      <c r="AA200" s="20">
        <v>1.8</v>
      </c>
      <c r="AB200" s="20">
        <v>3.3</v>
      </c>
      <c r="AC200" s="20">
        <v>3.5</v>
      </c>
      <c r="AD200" s="20">
        <v>4</v>
      </c>
      <c r="AE200" s="19">
        <v>-0.3</v>
      </c>
      <c r="AF200" s="19">
        <v>-0.2</v>
      </c>
      <c r="AG200" s="19">
        <v>0.1</v>
      </c>
      <c r="AH200" s="19">
        <v>-0.4</v>
      </c>
      <c r="AI200" s="15">
        <v>5.6</v>
      </c>
      <c r="AJ200" s="15">
        <v>5.9</v>
      </c>
      <c r="AK200" s="15">
        <v>6</v>
      </c>
      <c r="AL200" s="15">
        <v>5.9</v>
      </c>
      <c r="AM200" s="15">
        <v>5.9</v>
      </c>
      <c r="AN200" s="19">
        <v>0</v>
      </c>
      <c r="AO200" s="19">
        <v>0</v>
      </c>
      <c r="AP200" s="19">
        <v>0.1</v>
      </c>
      <c r="AQ200" s="19">
        <v>0.2</v>
      </c>
    </row>
    <row r="201" spans="2:43">
      <c r="B201">
        <f t="shared" si="375"/>
        <v>2002</v>
      </c>
      <c r="C201">
        <f t="shared" si="376"/>
        <v>8</v>
      </c>
      <c r="D201" s="7">
        <v>37481</v>
      </c>
      <c r="E201" s="6">
        <v>37475</v>
      </c>
      <c r="F201" s="4">
        <v>1</v>
      </c>
      <c r="G201" s="4">
        <v>0</v>
      </c>
      <c r="H201" s="10">
        <v>-0.04</v>
      </c>
      <c r="I201">
        <v>-2.7716082517072901E-2</v>
      </c>
      <c r="J201" s="24">
        <v>81302</v>
      </c>
      <c r="K201" s="27">
        <v>37481</v>
      </c>
      <c r="L201" s="17">
        <v>37500</v>
      </c>
      <c r="M201" s="29">
        <v>37475</v>
      </c>
      <c r="N201" s="17">
        <v>37500</v>
      </c>
      <c r="O201" s="13">
        <v>0</v>
      </c>
      <c r="P201" s="26">
        <v>1.75</v>
      </c>
      <c r="Q201" s="20">
        <v>1.2</v>
      </c>
      <c r="R201" s="20">
        <v>0.8</v>
      </c>
      <c r="S201" s="20">
        <v>1.3</v>
      </c>
      <c r="T201" s="20">
        <v>1.7</v>
      </c>
      <c r="U201" s="20">
        <v>1.4</v>
      </c>
      <c r="V201" s="19">
        <v>-0.1</v>
      </c>
      <c r="W201" s="19">
        <v>-0.1</v>
      </c>
      <c r="X201" s="19">
        <v>-0.1</v>
      </c>
      <c r="Y201" s="19">
        <v>-0.1</v>
      </c>
      <c r="Z201" s="20">
        <v>1.2</v>
      </c>
      <c r="AA201" s="20">
        <v>2.7</v>
      </c>
      <c r="AB201" s="20">
        <v>2.2000000000000002</v>
      </c>
      <c r="AC201" s="20">
        <v>3.3</v>
      </c>
      <c r="AD201" s="20">
        <v>3.4</v>
      </c>
      <c r="AE201" s="19">
        <v>-0.6</v>
      </c>
      <c r="AF201" s="19">
        <v>-0.6</v>
      </c>
      <c r="AG201" s="19">
        <v>-1.3</v>
      </c>
      <c r="AH201" s="19">
        <v>-0.7</v>
      </c>
      <c r="AI201" s="15">
        <v>5.9</v>
      </c>
      <c r="AJ201" s="15">
        <v>6</v>
      </c>
      <c r="AK201" s="15">
        <v>6</v>
      </c>
      <c r="AL201" s="15">
        <v>6</v>
      </c>
      <c r="AM201" s="15">
        <v>5.9</v>
      </c>
      <c r="AN201" s="19">
        <v>0</v>
      </c>
      <c r="AO201" s="19">
        <v>0</v>
      </c>
      <c r="AP201" s="19">
        <v>0.1</v>
      </c>
      <c r="AQ201" s="19">
        <v>0.1</v>
      </c>
    </row>
    <row r="202" spans="2:43">
      <c r="B202">
        <f t="shared" si="375"/>
        <v>2002</v>
      </c>
      <c r="C202">
        <f t="shared" si="376"/>
        <v>9</v>
      </c>
      <c r="D202" s="7">
        <v>37523</v>
      </c>
      <c r="E202" s="6">
        <v>37517</v>
      </c>
      <c r="F202" s="4">
        <v>1</v>
      </c>
      <c r="G202" s="4">
        <v>0</v>
      </c>
      <c r="H202" s="10">
        <v>-5.0000000000000001E-3</v>
      </c>
      <c r="I202">
        <v>3.7137181056106001E-3</v>
      </c>
      <c r="J202" s="24">
        <v>92402</v>
      </c>
      <c r="K202" s="27">
        <v>37523</v>
      </c>
      <c r="L202" s="17">
        <v>37500</v>
      </c>
      <c r="M202" s="29">
        <v>37517</v>
      </c>
      <c r="N202" s="17">
        <v>37500</v>
      </c>
      <c r="O202" s="13">
        <v>0</v>
      </c>
      <c r="P202" s="26">
        <v>1.75</v>
      </c>
      <c r="Q202" s="20">
        <v>1.1000000000000001</v>
      </c>
      <c r="R202" s="20">
        <v>1.1000000000000001</v>
      </c>
      <c r="S202" s="20">
        <v>1.2</v>
      </c>
      <c r="T202" s="20">
        <v>1.9</v>
      </c>
      <c r="U202" s="20">
        <v>1.5</v>
      </c>
      <c r="V202" s="19">
        <v>-0.1</v>
      </c>
      <c r="W202" s="19">
        <v>0.3</v>
      </c>
      <c r="X202" s="19">
        <v>-0.1</v>
      </c>
      <c r="Y202" s="19">
        <v>0.2</v>
      </c>
      <c r="Z202" s="20">
        <v>1.5</v>
      </c>
      <c r="AA202" s="20">
        <v>3.2</v>
      </c>
      <c r="AB202" s="20">
        <v>2</v>
      </c>
      <c r="AC202" s="20">
        <v>2.9</v>
      </c>
      <c r="AD202" s="20">
        <v>3.1</v>
      </c>
      <c r="AE202" s="19">
        <v>0.3</v>
      </c>
      <c r="AF202" s="19">
        <v>0.5</v>
      </c>
      <c r="AG202" s="19">
        <v>-0.2</v>
      </c>
      <c r="AH202" s="19">
        <v>-0.4</v>
      </c>
      <c r="AI202" s="15">
        <v>5.9</v>
      </c>
      <c r="AJ202" s="15">
        <v>5.8</v>
      </c>
      <c r="AK202" s="15">
        <v>6</v>
      </c>
      <c r="AL202" s="15">
        <v>6.1</v>
      </c>
      <c r="AM202" s="15">
        <v>6.1</v>
      </c>
      <c r="AN202" s="19">
        <v>0</v>
      </c>
      <c r="AO202" s="19">
        <v>-0.2</v>
      </c>
      <c r="AP202" s="19">
        <v>0</v>
      </c>
      <c r="AQ202" s="19">
        <v>0.1</v>
      </c>
    </row>
    <row r="203" spans="2:43">
      <c r="B203">
        <f t="shared" si="375"/>
        <v>2002</v>
      </c>
      <c r="C203">
        <f t="shared" si="376"/>
        <v>11</v>
      </c>
      <c r="D203" s="7">
        <v>37566</v>
      </c>
      <c r="E203" s="6">
        <v>37559</v>
      </c>
      <c r="F203" s="4">
        <v>1</v>
      </c>
      <c r="G203" s="4">
        <v>0</v>
      </c>
      <c r="H203" s="10">
        <v>-8.5000000000000006E-2</v>
      </c>
      <c r="I203">
        <v>-6.3838395508912196E-2</v>
      </c>
      <c r="J203" s="24">
        <v>110602</v>
      </c>
      <c r="K203" s="27">
        <v>37566</v>
      </c>
      <c r="L203" s="17">
        <v>37591</v>
      </c>
      <c r="M203" s="29">
        <v>37559</v>
      </c>
      <c r="N203" s="17">
        <v>37591</v>
      </c>
      <c r="O203" s="13">
        <v>-0.5</v>
      </c>
      <c r="P203" s="26">
        <v>1.75</v>
      </c>
      <c r="Q203" s="20">
        <v>1</v>
      </c>
      <c r="R203" s="20">
        <v>1.8</v>
      </c>
      <c r="S203" s="20">
        <v>1.6</v>
      </c>
      <c r="T203" s="20">
        <v>1.2</v>
      </c>
      <c r="U203" s="20">
        <v>1.3</v>
      </c>
      <c r="V203" s="19">
        <v>-0.1</v>
      </c>
      <c r="W203" s="19">
        <v>0.6</v>
      </c>
      <c r="X203" s="19">
        <v>-0.3</v>
      </c>
      <c r="Y203" s="19">
        <v>-0.3</v>
      </c>
      <c r="Z203" s="20">
        <v>3.1</v>
      </c>
      <c r="AA203" s="20">
        <v>1</v>
      </c>
      <c r="AB203" s="20">
        <v>2.2000000000000002</v>
      </c>
      <c r="AC203" s="20">
        <v>2.6</v>
      </c>
      <c r="AD203" s="20">
        <v>3.3</v>
      </c>
      <c r="AE203" s="19">
        <v>-0.1</v>
      </c>
      <c r="AF203" s="19">
        <v>-1</v>
      </c>
      <c r="AG203" s="19">
        <v>-0.7</v>
      </c>
      <c r="AH203" s="19">
        <v>-0.5</v>
      </c>
      <c r="AI203" s="15">
        <v>5.7</v>
      </c>
      <c r="AJ203" s="15">
        <v>5.9</v>
      </c>
      <c r="AK203" s="15">
        <v>6.2</v>
      </c>
      <c r="AL203" s="15">
        <v>6.2</v>
      </c>
      <c r="AM203" s="15">
        <v>6.1</v>
      </c>
      <c r="AN203" s="19">
        <v>-0.1</v>
      </c>
      <c r="AO203" s="19">
        <v>-0.1</v>
      </c>
      <c r="AP203" s="19">
        <v>0.1</v>
      </c>
      <c r="AQ203" s="19">
        <v>0.1</v>
      </c>
    </row>
    <row r="204" spans="2:43">
      <c r="B204">
        <f t="shared" si="375"/>
        <v>2002</v>
      </c>
      <c r="C204">
        <f t="shared" si="376"/>
        <v>12</v>
      </c>
      <c r="D204" s="7">
        <v>37600</v>
      </c>
      <c r="E204" s="6">
        <v>37594</v>
      </c>
      <c r="F204" s="4">
        <v>1</v>
      </c>
      <c r="G204" s="4">
        <v>0</v>
      </c>
      <c r="H204" s="10">
        <v>0.01</v>
      </c>
      <c r="I204">
        <v>3.5590969337387597E-2</v>
      </c>
      <c r="J204" s="24">
        <v>121002</v>
      </c>
      <c r="K204" s="27">
        <v>37600</v>
      </c>
      <c r="L204" s="17">
        <v>37591</v>
      </c>
      <c r="M204" s="29">
        <v>37594</v>
      </c>
      <c r="N204" s="17">
        <v>37591</v>
      </c>
      <c r="O204" s="13">
        <v>0</v>
      </c>
      <c r="P204" s="26">
        <v>1.25</v>
      </c>
      <c r="Q204" s="20">
        <v>1</v>
      </c>
      <c r="R204" s="20">
        <v>2.1</v>
      </c>
      <c r="S204" s="20">
        <v>1.7</v>
      </c>
      <c r="T204" s="20">
        <v>1.2</v>
      </c>
      <c r="U204" s="20">
        <v>1.3</v>
      </c>
      <c r="V204" s="19">
        <v>0</v>
      </c>
      <c r="W204" s="19">
        <v>0.3</v>
      </c>
      <c r="X204" s="19">
        <v>0.1</v>
      </c>
      <c r="Y204" s="19">
        <v>0</v>
      </c>
      <c r="Z204" s="20">
        <v>4</v>
      </c>
      <c r="AA204" s="20">
        <v>1</v>
      </c>
      <c r="AB204" s="20">
        <v>2.2999999999999998</v>
      </c>
      <c r="AC204" s="20">
        <v>2.9</v>
      </c>
      <c r="AD204" s="20">
        <v>3.9</v>
      </c>
      <c r="AE204" s="19">
        <v>0.9</v>
      </c>
      <c r="AF204" s="19">
        <v>0</v>
      </c>
      <c r="AG204" s="19">
        <v>0.1</v>
      </c>
      <c r="AH204" s="19">
        <v>0.3</v>
      </c>
      <c r="AI204" s="15">
        <v>5.7</v>
      </c>
      <c r="AJ204" s="15">
        <v>5.8</v>
      </c>
      <c r="AK204" s="15">
        <v>6</v>
      </c>
      <c r="AL204" s="15">
        <v>6</v>
      </c>
      <c r="AM204" s="15">
        <v>6</v>
      </c>
      <c r="AN204" s="19">
        <v>0</v>
      </c>
      <c r="AO204" s="19">
        <v>-0.1</v>
      </c>
      <c r="AP204" s="19">
        <v>-0.2</v>
      </c>
      <c r="AQ204" s="19">
        <v>-0.2</v>
      </c>
    </row>
    <row r="205" spans="2:43">
      <c r="B205">
        <f t="shared" si="375"/>
        <v>2003</v>
      </c>
      <c r="C205">
        <f t="shared" si="376"/>
        <v>1</v>
      </c>
      <c r="D205" s="7">
        <v>37650</v>
      </c>
      <c r="E205" s="6">
        <v>37643</v>
      </c>
      <c r="F205" s="4">
        <v>1</v>
      </c>
      <c r="G205" s="4">
        <v>0</v>
      </c>
      <c r="H205" s="10">
        <v>0.03</v>
      </c>
      <c r="I205">
        <v>2.7821462105794899E-2</v>
      </c>
      <c r="J205" s="24">
        <v>12903</v>
      </c>
      <c r="K205" s="27">
        <v>37650</v>
      </c>
      <c r="L205" s="17">
        <v>37681</v>
      </c>
      <c r="M205" s="29">
        <v>37643</v>
      </c>
      <c r="N205" s="17">
        <v>37681</v>
      </c>
      <c r="O205" s="13">
        <v>0</v>
      </c>
      <c r="P205" s="26">
        <v>1.25</v>
      </c>
      <c r="Q205" s="20">
        <v>1.8</v>
      </c>
      <c r="R205" s="20">
        <v>1.2</v>
      </c>
      <c r="S205" s="20">
        <v>1.2</v>
      </c>
      <c r="T205" s="20">
        <v>1.2</v>
      </c>
      <c r="U205" s="20">
        <v>1.3</v>
      </c>
      <c r="V205" s="19">
        <v>-0.3</v>
      </c>
      <c r="W205" s="19">
        <v>-0.5</v>
      </c>
      <c r="X205" s="19">
        <v>0</v>
      </c>
      <c r="Y205" s="19">
        <v>-0.1</v>
      </c>
      <c r="Z205" s="20">
        <v>0.2</v>
      </c>
      <c r="AA205" s="20">
        <v>2.6</v>
      </c>
      <c r="AB205" s="20">
        <v>2.9</v>
      </c>
      <c r="AC205" s="20">
        <v>4.3</v>
      </c>
      <c r="AD205" s="20">
        <v>4.5999999999999996</v>
      </c>
      <c r="AE205" s="19">
        <v>-0.8</v>
      </c>
      <c r="AF205" s="19">
        <v>0.3</v>
      </c>
      <c r="AG205" s="19">
        <v>0</v>
      </c>
      <c r="AH205" s="19">
        <v>0.4</v>
      </c>
      <c r="AI205" s="15">
        <v>5.9</v>
      </c>
      <c r="AJ205" s="15">
        <v>6.2</v>
      </c>
      <c r="AK205" s="15">
        <v>6.2</v>
      </c>
      <c r="AL205" s="15">
        <v>6.2</v>
      </c>
      <c r="AM205" s="15">
        <v>6.1</v>
      </c>
      <c r="AN205" s="19">
        <v>0.1</v>
      </c>
      <c r="AO205" s="19">
        <v>0.2</v>
      </c>
      <c r="AP205" s="19">
        <v>0.2</v>
      </c>
      <c r="AQ205" s="19">
        <v>0.2</v>
      </c>
    </row>
    <row r="206" spans="2:43">
      <c r="B206">
        <f t="shared" si="375"/>
        <v>2003</v>
      </c>
      <c r="C206">
        <f t="shared" si="376"/>
        <v>3</v>
      </c>
      <c r="D206" s="7">
        <v>37698</v>
      </c>
      <c r="E206" s="6">
        <v>37693</v>
      </c>
      <c r="F206" s="4">
        <v>1</v>
      </c>
      <c r="G206" s="4">
        <v>0</v>
      </c>
      <c r="H206" s="10">
        <v>-0.02</v>
      </c>
      <c r="I206">
        <v>1.49498529193232E-2</v>
      </c>
      <c r="J206" s="24">
        <v>31803</v>
      </c>
      <c r="K206" s="27">
        <v>37698</v>
      </c>
      <c r="L206" s="17">
        <v>37681</v>
      </c>
      <c r="M206" s="29">
        <v>37693</v>
      </c>
      <c r="N206" s="17">
        <v>37681</v>
      </c>
      <c r="O206" s="13">
        <v>0</v>
      </c>
      <c r="P206" s="26">
        <v>1.25</v>
      </c>
      <c r="Q206" s="20">
        <v>1.6</v>
      </c>
      <c r="R206" s="20">
        <v>2</v>
      </c>
      <c r="S206" s="20">
        <v>1.4</v>
      </c>
      <c r="T206" s="20">
        <v>1</v>
      </c>
      <c r="U206" s="20">
        <v>1.2</v>
      </c>
      <c r="V206" s="19">
        <v>-0.2</v>
      </c>
      <c r="W206" s="19">
        <v>0.8</v>
      </c>
      <c r="X206" s="19">
        <v>0.2</v>
      </c>
      <c r="Y206" s="19">
        <v>-0.2</v>
      </c>
      <c r="Z206" s="20">
        <v>1.4</v>
      </c>
      <c r="AA206" s="20">
        <v>2.2999999999999998</v>
      </c>
      <c r="AB206" s="20">
        <v>2.2999999999999998</v>
      </c>
      <c r="AC206" s="20">
        <v>3.8</v>
      </c>
      <c r="AD206" s="20">
        <v>4.5</v>
      </c>
      <c r="AE206" s="19">
        <v>1.2</v>
      </c>
      <c r="AF206" s="19">
        <v>-0.3</v>
      </c>
      <c r="AG206" s="19">
        <v>-0.6</v>
      </c>
      <c r="AH206" s="19">
        <v>-0.5</v>
      </c>
      <c r="AI206" s="15">
        <v>5.9</v>
      </c>
      <c r="AJ206" s="15">
        <v>5.8</v>
      </c>
      <c r="AK206" s="15">
        <v>6.1</v>
      </c>
      <c r="AL206" s="15">
        <v>6.2</v>
      </c>
      <c r="AM206" s="15">
        <v>6.1</v>
      </c>
      <c r="AN206" s="19">
        <v>0</v>
      </c>
      <c r="AO206" s="19">
        <v>-0.4</v>
      </c>
      <c r="AP206" s="19">
        <v>-0.1</v>
      </c>
      <c r="AQ206" s="19">
        <v>0</v>
      </c>
    </row>
    <row r="207" spans="2:43">
      <c r="B207">
        <f t="shared" si="375"/>
        <v>2003</v>
      </c>
      <c r="C207">
        <f t="shared" si="376"/>
        <v>5</v>
      </c>
      <c r="D207" s="7">
        <v>37747</v>
      </c>
      <c r="E207" s="6">
        <v>37741</v>
      </c>
      <c r="F207" s="4">
        <v>1</v>
      </c>
      <c r="G207" s="4">
        <v>0</v>
      </c>
      <c r="H207" s="10">
        <v>-0.04</v>
      </c>
      <c r="I207">
        <v>-3.9045352366821301E-2</v>
      </c>
      <c r="J207" s="24">
        <v>50603</v>
      </c>
      <c r="K207" s="27">
        <v>37747</v>
      </c>
      <c r="L207" s="17">
        <v>37773</v>
      </c>
      <c r="M207" s="29">
        <v>37741</v>
      </c>
      <c r="N207" s="17">
        <v>37773</v>
      </c>
      <c r="O207" s="13">
        <v>0</v>
      </c>
      <c r="P207" s="26">
        <v>1.25</v>
      </c>
      <c r="Q207" s="20">
        <v>2.6</v>
      </c>
      <c r="R207" s="20">
        <v>1</v>
      </c>
      <c r="S207" s="20">
        <v>1.1000000000000001</v>
      </c>
      <c r="T207" s="20">
        <v>1.2</v>
      </c>
      <c r="U207" s="20">
        <v>1.6</v>
      </c>
      <c r="V207" s="19">
        <v>0.6</v>
      </c>
      <c r="W207" s="19">
        <v>-0.4</v>
      </c>
      <c r="X207" s="19">
        <v>0.1</v>
      </c>
      <c r="Y207" s="19">
        <v>0</v>
      </c>
      <c r="Z207" s="20">
        <v>1.6</v>
      </c>
      <c r="AA207" s="20">
        <v>2</v>
      </c>
      <c r="AB207" s="20">
        <v>3.4</v>
      </c>
      <c r="AC207" s="20">
        <v>4.3</v>
      </c>
      <c r="AD207" s="20">
        <v>4.7</v>
      </c>
      <c r="AE207" s="19">
        <v>-0.7</v>
      </c>
      <c r="AF207" s="19">
        <v>-0.3</v>
      </c>
      <c r="AG207" s="19">
        <v>-0.4</v>
      </c>
      <c r="AH207" s="19">
        <v>-0.2</v>
      </c>
      <c r="AI207" s="15">
        <v>5.8</v>
      </c>
      <c r="AJ207" s="15">
        <v>6</v>
      </c>
      <c r="AK207" s="15">
        <v>6.1</v>
      </c>
      <c r="AL207" s="15">
        <v>6.1</v>
      </c>
      <c r="AM207" s="15">
        <v>6.1</v>
      </c>
      <c r="AN207" s="19">
        <v>0</v>
      </c>
      <c r="AO207" s="19">
        <v>-0.1</v>
      </c>
      <c r="AP207" s="19">
        <v>-0.1</v>
      </c>
      <c r="AQ207" s="19">
        <v>0</v>
      </c>
    </row>
    <row r="208" spans="2:43">
      <c r="B208">
        <f t="shared" si="375"/>
        <v>2003</v>
      </c>
      <c r="C208">
        <f t="shared" si="376"/>
        <v>6</v>
      </c>
      <c r="D208" s="7">
        <v>37797</v>
      </c>
      <c r="E208" s="6">
        <v>37790</v>
      </c>
      <c r="F208" s="4">
        <v>1</v>
      </c>
      <c r="G208" s="4">
        <v>0</v>
      </c>
      <c r="H208" s="10">
        <v>0.105</v>
      </c>
      <c r="I208">
        <v>0.12109308922616301</v>
      </c>
      <c r="J208" s="24">
        <v>62503</v>
      </c>
      <c r="K208" s="27">
        <v>37797</v>
      </c>
      <c r="L208" s="17">
        <v>37773</v>
      </c>
      <c r="M208" s="29">
        <v>37790</v>
      </c>
      <c r="N208" s="17">
        <v>37773</v>
      </c>
      <c r="O208" s="13">
        <v>-0.25</v>
      </c>
      <c r="P208" s="26">
        <v>1.25</v>
      </c>
      <c r="Q208" s="20">
        <v>2.5</v>
      </c>
      <c r="R208" s="20">
        <v>0.9</v>
      </c>
      <c r="S208" s="20">
        <v>0.4</v>
      </c>
      <c r="T208" s="20">
        <v>1.1000000000000001</v>
      </c>
      <c r="U208" s="20">
        <v>1.5</v>
      </c>
      <c r="V208" s="19">
        <v>-0.1</v>
      </c>
      <c r="W208" s="19">
        <v>-0.1</v>
      </c>
      <c r="X208" s="19">
        <v>-0.7</v>
      </c>
      <c r="Y208" s="19">
        <v>-0.1</v>
      </c>
      <c r="Z208" s="20">
        <v>1.6</v>
      </c>
      <c r="AA208" s="20">
        <v>1.5</v>
      </c>
      <c r="AB208" s="20">
        <v>3.8</v>
      </c>
      <c r="AC208" s="20">
        <v>4.5999999999999996</v>
      </c>
      <c r="AD208" s="20">
        <v>5.3</v>
      </c>
      <c r="AE208" s="19">
        <v>0</v>
      </c>
      <c r="AF208" s="19">
        <v>-0.5</v>
      </c>
      <c r="AG208" s="19">
        <v>0.4</v>
      </c>
      <c r="AH208" s="19">
        <v>0.3</v>
      </c>
      <c r="AI208" s="15">
        <v>5.8</v>
      </c>
      <c r="AJ208" s="15">
        <v>6.1</v>
      </c>
      <c r="AK208" s="15">
        <v>6.2</v>
      </c>
      <c r="AL208" s="15">
        <v>6.1</v>
      </c>
      <c r="AM208" s="15">
        <v>6</v>
      </c>
      <c r="AN208" s="19">
        <v>0</v>
      </c>
      <c r="AO208" s="19">
        <v>0.1</v>
      </c>
      <c r="AP208" s="19">
        <v>0.1</v>
      </c>
      <c r="AQ208" s="19">
        <v>0</v>
      </c>
    </row>
    <row r="209" spans="2:43">
      <c r="B209">
        <f t="shared" si="375"/>
        <v>2003</v>
      </c>
      <c r="C209">
        <f t="shared" si="376"/>
        <v>8</v>
      </c>
      <c r="D209" s="7">
        <v>37845</v>
      </c>
      <c r="E209" s="6">
        <v>37839</v>
      </c>
      <c r="F209" s="4">
        <v>1</v>
      </c>
      <c r="G209" s="4">
        <v>0</v>
      </c>
      <c r="H209" s="10">
        <v>0</v>
      </c>
      <c r="I209">
        <v>-5.0544865719358099E-3</v>
      </c>
      <c r="J209" s="24">
        <v>81203</v>
      </c>
      <c r="K209" s="27">
        <v>37845</v>
      </c>
      <c r="L209" s="17">
        <v>37865</v>
      </c>
      <c r="M209" s="29">
        <v>37839</v>
      </c>
      <c r="N209" s="17">
        <v>37865</v>
      </c>
      <c r="O209" s="13">
        <v>0</v>
      </c>
      <c r="P209" s="26">
        <v>1</v>
      </c>
      <c r="Q209" s="20">
        <v>1</v>
      </c>
      <c r="R209" s="20">
        <v>0.9</v>
      </c>
      <c r="S209" s="20">
        <v>1</v>
      </c>
      <c r="T209" s="20">
        <v>1.3</v>
      </c>
      <c r="U209" s="20">
        <v>0.9</v>
      </c>
      <c r="V209" s="19">
        <v>0.1</v>
      </c>
      <c r="W209" s="19">
        <v>0.5</v>
      </c>
      <c r="X209" s="19">
        <v>-0.1</v>
      </c>
      <c r="Y209" s="19">
        <v>-0.2</v>
      </c>
      <c r="Z209" s="20">
        <v>2.6</v>
      </c>
      <c r="AA209" s="20">
        <v>3.6</v>
      </c>
      <c r="AB209" s="20">
        <v>4.4000000000000004</v>
      </c>
      <c r="AC209" s="20">
        <v>4.8</v>
      </c>
      <c r="AD209" s="20">
        <v>4.8</v>
      </c>
      <c r="AE209" s="19">
        <v>1.1000000000000001</v>
      </c>
      <c r="AF209" s="19">
        <v>-0.2</v>
      </c>
      <c r="AG209" s="19">
        <v>-0.2</v>
      </c>
      <c r="AH209" s="19">
        <v>-0.5</v>
      </c>
      <c r="AI209" s="15">
        <v>6.2</v>
      </c>
      <c r="AJ209" s="15">
        <v>6.3</v>
      </c>
      <c r="AK209" s="15">
        <v>6.2</v>
      </c>
      <c r="AL209" s="15">
        <v>6</v>
      </c>
      <c r="AM209" s="15">
        <v>5.9</v>
      </c>
      <c r="AN209" s="19">
        <v>0.1</v>
      </c>
      <c r="AO209" s="19">
        <v>0.1</v>
      </c>
      <c r="AP209" s="19">
        <v>0.1</v>
      </c>
      <c r="AQ209" s="19">
        <v>0</v>
      </c>
    </row>
    <row r="210" spans="2:43">
      <c r="B210">
        <f t="shared" si="375"/>
        <v>2003</v>
      </c>
      <c r="C210">
        <f t="shared" si="376"/>
        <v>9</v>
      </c>
      <c r="D210" s="7">
        <v>37880</v>
      </c>
      <c r="E210" s="6">
        <v>37874</v>
      </c>
      <c r="F210" s="4">
        <v>1</v>
      </c>
      <c r="G210" s="4">
        <v>0</v>
      </c>
      <c r="H210" s="10">
        <v>0</v>
      </c>
      <c r="I210">
        <v>-9.4004331509482206E-3</v>
      </c>
      <c r="J210" s="24">
        <v>91603</v>
      </c>
      <c r="K210" s="27">
        <v>37880</v>
      </c>
      <c r="L210" s="17">
        <v>37865</v>
      </c>
      <c r="M210" s="29">
        <v>37874</v>
      </c>
      <c r="N210" s="17">
        <v>37865</v>
      </c>
      <c r="O210" s="13">
        <v>0</v>
      </c>
      <c r="P210" s="26">
        <v>1</v>
      </c>
      <c r="Q210" s="20">
        <v>0.8</v>
      </c>
      <c r="R210" s="20">
        <v>1.5</v>
      </c>
      <c r="S210" s="20">
        <v>1.1000000000000001</v>
      </c>
      <c r="T210" s="20">
        <v>1.1000000000000001</v>
      </c>
      <c r="U210" s="20">
        <v>0.9</v>
      </c>
      <c r="V210" s="19">
        <v>-0.2</v>
      </c>
      <c r="W210" s="19">
        <v>0.6</v>
      </c>
      <c r="X210" s="19">
        <v>0.1</v>
      </c>
      <c r="Y210" s="19">
        <v>-0.2</v>
      </c>
      <c r="Z210" s="20">
        <v>3.3</v>
      </c>
      <c r="AA210" s="20">
        <v>4.4000000000000004</v>
      </c>
      <c r="AB210" s="20">
        <v>4.5999999999999996</v>
      </c>
      <c r="AC210" s="20">
        <v>5.2</v>
      </c>
      <c r="AD210" s="20">
        <v>5.0999999999999996</v>
      </c>
      <c r="AE210" s="19">
        <v>0.7</v>
      </c>
      <c r="AF210" s="19">
        <v>0.8</v>
      </c>
      <c r="AG210" s="19">
        <v>0.2</v>
      </c>
      <c r="AH210" s="19">
        <v>0.4</v>
      </c>
      <c r="AI210" s="15">
        <v>6.2</v>
      </c>
      <c r="AJ210" s="15">
        <v>6.2</v>
      </c>
      <c r="AK210" s="15">
        <v>6.2</v>
      </c>
      <c r="AL210" s="15">
        <v>6.1</v>
      </c>
      <c r="AM210" s="15">
        <v>6</v>
      </c>
      <c r="AN210" s="19">
        <v>0</v>
      </c>
      <c r="AO210" s="19">
        <v>-0.1</v>
      </c>
      <c r="AP210" s="19">
        <v>0</v>
      </c>
      <c r="AQ210" s="19">
        <v>0.1</v>
      </c>
    </row>
    <row r="211" spans="2:43">
      <c r="B211">
        <f t="shared" si="375"/>
        <v>2003</v>
      </c>
      <c r="C211">
        <f t="shared" si="376"/>
        <v>10</v>
      </c>
      <c r="D211" s="7">
        <v>37922</v>
      </c>
      <c r="E211" s="6">
        <v>37916</v>
      </c>
      <c r="F211" s="4">
        <v>1</v>
      </c>
      <c r="G211" s="4">
        <v>0</v>
      </c>
      <c r="H211" s="10">
        <v>-0.01</v>
      </c>
      <c r="I211">
        <v>-2.6159508888180201E-2</v>
      </c>
      <c r="J211" s="24">
        <v>102803</v>
      </c>
      <c r="K211" s="27">
        <v>37922</v>
      </c>
      <c r="L211" s="17">
        <v>37956</v>
      </c>
      <c r="M211" s="29">
        <v>37916</v>
      </c>
      <c r="N211" s="17">
        <v>37956</v>
      </c>
      <c r="O211" s="13">
        <v>0</v>
      </c>
      <c r="P211" s="26">
        <v>1</v>
      </c>
      <c r="Q211" s="20">
        <v>1.8</v>
      </c>
      <c r="R211" s="20">
        <v>0.8</v>
      </c>
      <c r="S211" s="20">
        <v>1.1000000000000001</v>
      </c>
      <c r="T211" s="20">
        <v>0.9</v>
      </c>
      <c r="U211" s="20">
        <v>1</v>
      </c>
      <c r="V211" s="19">
        <v>0.3</v>
      </c>
      <c r="W211" s="19">
        <v>-0.3</v>
      </c>
      <c r="X211" s="19">
        <v>0</v>
      </c>
      <c r="Y211" s="19">
        <v>0</v>
      </c>
      <c r="Z211" s="20">
        <v>6.3</v>
      </c>
      <c r="AA211" s="20">
        <v>4.4000000000000004</v>
      </c>
      <c r="AB211" s="20">
        <v>5.2</v>
      </c>
      <c r="AC211" s="20">
        <v>5.2</v>
      </c>
      <c r="AD211" s="20">
        <v>5.0999999999999996</v>
      </c>
      <c r="AE211" s="19">
        <v>1.9</v>
      </c>
      <c r="AF211" s="19">
        <v>-0.2</v>
      </c>
      <c r="AG211" s="19">
        <v>0</v>
      </c>
      <c r="AH211" s="19">
        <v>0.1</v>
      </c>
      <c r="AI211" s="15">
        <v>6.1</v>
      </c>
      <c r="AJ211" s="15">
        <v>6.2</v>
      </c>
      <c r="AK211" s="15">
        <v>6</v>
      </c>
      <c r="AL211" s="15">
        <v>5.8</v>
      </c>
      <c r="AM211" s="15">
        <v>5.7</v>
      </c>
      <c r="AN211" s="19">
        <v>-0.1</v>
      </c>
      <c r="AO211" s="19">
        <v>0</v>
      </c>
      <c r="AP211" s="19">
        <v>-0.1</v>
      </c>
      <c r="AQ211" s="19">
        <v>-0.2</v>
      </c>
    </row>
    <row r="212" spans="2:43">
      <c r="B212">
        <f t="shared" si="375"/>
        <v>2003</v>
      </c>
      <c r="C212">
        <f t="shared" si="376"/>
        <v>12</v>
      </c>
      <c r="D212" s="7">
        <v>37964</v>
      </c>
      <c r="E212" s="6">
        <v>37958</v>
      </c>
      <c r="F212" s="4">
        <v>1</v>
      </c>
      <c r="G212" s="4">
        <v>0</v>
      </c>
      <c r="H212" s="10">
        <v>5.0000000000000001E-3</v>
      </c>
      <c r="I212">
        <v>-2.8408471057732999E-3</v>
      </c>
      <c r="J212" s="24">
        <v>120903</v>
      </c>
      <c r="K212" s="27">
        <v>37964</v>
      </c>
      <c r="L212" s="17">
        <v>37956</v>
      </c>
      <c r="M212" s="29">
        <v>37958</v>
      </c>
      <c r="N212" s="17">
        <v>37956</v>
      </c>
      <c r="O212" s="13">
        <v>0</v>
      </c>
      <c r="P212" s="26">
        <v>1</v>
      </c>
      <c r="Q212" s="20">
        <v>1.7</v>
      </c>
      <c r="R212" s="20">
        <v>1.1000000000000001</v>
      </c>
      <c r="S212" s="20">
        <v>1.2</v>
      </c>
      <c r="T212" s="20">
        <v>0.9</v>
      </c>
      <c r="U212" s="20">
        <v>0.9</v>
      </c>
      <c r="V212" s="19">
        <v>-0.1</v>
      </c>
      <c r="W212" s="19">
        <v>0.3</v>
      </c>
      <c r="X212" s="19">
        <v>0.1</v>
      </c>
      <c r="Y212" s="19">
        <v>0</v>
      </c>
      <c r="Z212" s="20">
        <v>8.1999999999999993</v>
      </c>
      <c r="AA212" s="20">
        <v>4.4000000000000004</v>
      </c>
      <c r="AB212" s="20">
        <v>5.3</v>
      </c>
      <c r="AC212" s="20">
        <v>5.5</v>
      </c>
      <c r="AD212" s="20">
        <v>5.3</v>
      </c>
      <c r="AE212" s="19">
        <v>1.9</v>
      </c>
      <c r="AF212" s="19">
        <v>0</v>
      </c>
      <c r="AG212" s="19">
        <v>0.1</v>
      </c>
      <c r="AH212" s="19">
        <v>0.3</v>
      </c>
      <c r="AI212" s="15">
        <v>6.1</v>
      </c>
      <c r="AJ212" s="15">
        <v>6</v>
      </c>
      <c r="AK212" s="15">
        <v>6</v>
      </c>
      <c r="AL212" s="15">
        <v>5.8</v>
      </c>
      <c r="AM212" s="15">
        <v>5.5</v>
      </c>
      <c r="AN212" s="19">
        <v>0</v>
      </c>
      <c r="AO212" s="19">
        <v>-0.2</v>
      </c>
      <c r="AP212" s="19">
        <v>0</v>
      </c>
      <c r="AQ212" s="19">
        <v>0</v>
      </c>
    </row>
    <row r="213" spans="2:43">
      <c r="B213">
        <f t="shared" si="375"/>
        <v>2004</v>
      </c>
      <c r="C213">
        <f t="shared" si="376"/>
        <v>1</v>
      </c>
      <c r="D213" s="7">
        <v>38014</v>
      </c>
      <c r="E213" s="6">
        <v>38007</v>
      </c>
      <c r="F213" s="4">
        <v>1</v>
      </c>
      <c r="G213" s="4">
        <v>0</v>
      </c>
      <c r="H213" s="10">
        <v>5.0000000000000001E-3</v>
      </c>
      <c r="I213">
        <v>-1.0691390532543201E-2</v>
      </c>
      <c r="J213" s="24">
        <v>12804</v>
      </c>
      <c r="K213" s="27">
        <v>38014</v>
      </c>
      <c r="L213" s="17">
        <v>38047</v>
      </c>
      <c r="M213" s="29">
        <v>38007</v>
      </c>
      <c r="N213" s="17">
        <v>38047</v>
      </c>
      <c r="O213" s="13">
        <v>0</v>
      </c>
      <c r="P213" s="26">
        <v>1</v>
      </c>
      <c r="Q213" s="20">
        <v>1.4</v>
      </c>
      <c r="R213" s="20">
        <v>1.6</v>
      </c>
      <c r="S213" s="20">
        <v>0.6</v>
      </c>
      <c r="T213" s="20">
        <v>0.6</v>
      </c>
      <c r="U213" s="20">
        <v>0.8</v>
      </c>
      <c r="V213" s="19">
        <v>0.3</v>
      </c>
      <c r="W213" s="19">
        <v>0.4</v>
      </c>
      <c r="X213" s="19">
        <v>-0.3</v>
      </c>
      <c r="Y213" s="19">
        <v>-0.3</v>
      </c>
      <c r="Z213" s="20">
        <v>4.8</v>
      </c>
      <c r="AA213" s="20">
        <v>5</v>
      </c>
      <c r="AB213" s="20">
        <v>5.4</v>
      </c>
      <c r="AC213" s="20">
        <v>5.4</v>
      </c>
      <c r="AD213" s="20">
        <v>5.4</v>
      </c>
      <c r="AE213" s="19">
        <v>0.4</v>
      </c>
      <c r="AF213" s="19">
        <v>-0.3</v>
      </c>
      <c r="AG213" s="19">
        <v>-0.1</v>
      </c>
      <c r="AH213" s="19">
        <v>0.1</v>
      </c>
      <c r="AI213" s="15">
        <v>5.9</v>
      </c>
      <c r="AJ213" s="15">
        <v>5.8</v>
      </c>
      <c r="AK213" s="15">
        <v>5.6</v>
      </c>
      <c r="AL213" s="15">
        <v>5.4</v>
      </c>
      <c r="AM213" s="15">
        <v>5.3</v>
      </c>
      <c r="AN213" s="19">
        <v>-0.1</v>
      </c>
      <c r="AO213" s="19">
        <v>-0.2</v>
      </c>
      <c r="AP213" s="19">
        <v>-0.2</v>
      </c>
      <c r="AQ213" s="19">
        <v>-0.1</v>
      </c>
    </row>
    <row r="214" spans="2:43">
      <c r="B214">
        <f t="shared" si="375"/>
        <v>2004</v>
      </c>
      <c r="C214">
        <f t="shared" si="376"/>
        <v>3</v>
      </c>
      <c r="D214" s="7">
        <v>38062</v>
      </c>
      <c r="E214" s="6">
        <v>38057</v>
      </c>
      <c r="F214" s="4">
        <v>1</v>
      </c>
      <c r="G214" s="4">
        <v>0</v>
      </c>
      <c r="H214" s="10">
        <v>-5.0000000000000001E-3</v>
      </c>
      <c r="I214">
        <v>-9.95421021409678E-3</v>
      </c>
      <c r="J214" s="24">
        <v>31604</v>
      </c>
      <c r="K214" s="27">
        <v>38062</v>
      </c>
      <c r="L214" s="17">
        <v>38047</v>
      </c>
      <c r="M214" s="29">
        <v>38057</v>
      </c>
      <c r="N214" s="17">
        <v>38047</v>
      </c>
      <c r="O214" s="13">
        <v>0</v>
      </c>
      <c r="P214" s="26">
        <v>1</v>
      </c>
      <c r="Q214" s="20">
        <v>1.3</v>
      </c>
      <c r="R214" s="20">
        <v>2.1</v>
      </c>
      <c r="S214" s="20">
        <v>0.9</v>
      </c>
      <c r="T214" s="20">
        <v>0.4</v>
      </c>
      <c r="U214" s="20">
        <v>0.7</v>
      </c>
      <c r="V214" s="19">
        <v>-0.1</v>
      </c>
      <c r="W214" s="19">
        <v>0.5</v>
      </c>
      <c r="X214" s="19">
        <v>0.3</v>
      </c>
      <c r="Y214" s="19">
        <v>-0.2</v>
      </c>
      <c r="Z214" s="20">
        <v>4</v>
      </c>
      <c r="AA214" s="20">
        <v>4.4000000000000004</v>
      </c>
      <c r="AB214" s="20">
        <v>4.9000000000000004</v>
      </c>
      <c r="AC214" s="20">
        <v>5.3</v>
      </c>
      <c r="AD214" s="20">
        <v>5.3</v>
      </c>
      <c r="AE214" s="19">
        <v>-0.8</v>
      </c>
      <c r="AF214" s="19">
        <v>-0.6</v>
      </c>
      <c r="AG214" s="19">
        <v>-0.5</v>
      </c>
      <c r="AH214" s="19">
        <v>-0.1</v>
      </c>
      <c r="AI214" s="15">
        <v>5.9</v>
      </c>
      <c r="AJ214" s="15">
        <v>5.6</v>
      </c>
      <c r="AK214" s="15">
        <v>5.6</v>
      </c>
      <c r="AL214" s="15">
        <v>5.5</v>
      </c>
      <c r="AM214" s="15">
        <v>5.5</v>
      </c>
      <c r="AN214" s="19">
        <v>0</v>
      </c>
      <c r="AO214" s="19">
        <v>-0.2</v>
      </c>
      <c r="AP214" s="19">
        <v>0</v>
      </c>
      <c r="AQ214" s="19">
        <v>0.1</v>
      </c>
    </row>
    <row r="215" spans="2:43">
      <c r="B215">
        <f t="shared" si="375"/>
        <v>2004</v>
      </c>
      <c r="C215">
        <f t="shared" si="376"/>
        <v>5</v>
      </c>
      <c r="D215" s="7">
        <v>38111</v>
      </c>
      <c r="E215" s="6">
        <v>38105</v>
      </c>
      <c r="F215" s="4">
        <v>1</v>
      </c>
      <c r="G215" s="4">
        <v>0</v>
      </c>
      <c r="H215" s="10">
        <v>-5.0000000000000001E-3</v>
      </c>
      <c r="I215">
        <v>-1.4723425371296501E-2</v>
      </c>
      <c r="J215" s="24">
        <v>50404</v>
      </c>
      <c r="K215" s="27">
        <v>38111</v>
      </c>
      <c r="L215" s="17">
        <v>38139</v>
      </c>
      <c r="M215" s="29">
        <v>38105</v>
      </c>
      <c r="N215" s="17">
        <v>38139</v>
      </c>
      <c r="O215" s="13">
        <v>0</v>
      </c>
      <c r="P215" s="26">
        <v>1</v>
      </c>
      <c r="Q215" s="20">
        <v>2.2999999999999998</v>
      </c>
      <c r="R215" s="20">
        <v>1.6</v>
      </c>
      <c r="S215" s="20">
        <v>0.6</v>
      </c>
      <c r="T215" s="20">
        <v>0.7</v>
      </c>
      <c r="U215" s="20">
        <v>1.4</v>
      </c>
      <c r="V215" s="19">
        <v>0.2</v>
      </c>
      <c r="W215" s="19">
        <v>0.7</v>
      </c>
      <c r="X215" s="19">
        <v>0.2</v>
      </c>
      <c r="Y215" s="19">
        <v>0</v>
      </c>
      <c r="Z215" s="20">
        <v>5.2</v>
      </c>
      <c r="AA215" s="20">
        <v>4.5999999999999996</v>
      </c>
      <c r="AB215" s="20">
        <v>5.0999999999999996</v>
      </c>
      <c r="AC215" s="20">
        <v>5.0999999999999996</v>
      </c>
      <c r="AD215" s="20">
        <v>4</v>
      </c>
      <c r="AE215" s="19">
        <v>0.8</v>
      </c>
      <c r="AF215" s="19">
        <v>-0.3</v>
      </c>
      <c r="AG215" s="19">
        <v>-0.2</v>
      </c>
      <c r="AH215" s="19">
        <v>-0.2</v>
      </c>
      <c r="AI215" s="15">
        <v>5.6</v>
      </c>
      <c r="AJ215" s="15">
        <v>5.6</v>
      </c>
      <c r="AK215" s="15">
        <v>5.5</v>
      </c>
      <c r="AL215" s="15">
        <v>5.4</v>
      </c>
      <c r="AM215" s="15">
        <v>5.3</v>
      </c>
      <c r="AN215" s="19">
        <v>0</v>
      </c>
      <c r="AO215" s="19">
        <v>0</v>
      </c>
      <c r="AP215" s="19">
        <v>0</v>
      </c>
      <c r="AQ215" s="19">
        <v>-0.1</v>
      </c>
    </row>
    <row r="216" spans="2:43">
      <c r="B216">
        <f t="shared" si="375"/>
        <v>2004</v>
      </c>
      <c r="C216">
        <f t="shared" si="376"/>
        <v>6</v>
      </c>
      <c r="D216" s="7">
        <v>38168</v>
      </c>
      <c r="E216" s="6">
        <v>38161</v>
      </c>
      <c r="F216" s="4">
        <v>1</v>
      </c>
      <c r="G216" s="4">
        <v>0</v>
      </c>
      <c r="H216" s="10">
        <v>-0.01</v>
      </c>
      <c r="I216">
        <v>-2.6350545400656102E-2</v>
      </c>
      <c r="J216" s="24">
        <v>63004</v>
      </c>
      <c r="K216" s="27">
        <v>38168</v>
      </c>
      <c r="L216" s="17">
        <v>38139</v>
      </c>
      <c r="M216" s="29">
        <v>38161</v>
      </c>
      <c r="N216" s="17">
        <v>38139</v>
      </c>
      <c r="O216" s="13">
        <v>0.25</v>
      </c>
      <c r="P216" s="26">
        <v>1</v>
      </c>
      <c r="Q216" s="20">
        <v>2.7</v>
      </c>
      <c r="R216" s="20">
        <v>2.6</v>
      </c>
      <c r="S216" s="20">
        <v>1.1000000000000001</v>
      </c>
      <c r="T216" s="20">
        <v>0.8</v>
      </c>
      <c r="U216" s="20">
        <v>1.5</v>
      </c>
      <c r="V216" s="19">
        <v>0.4</v>
      </c>
      <c r="W216" s="19">
        <v>1</v>
      </c>
      <c r="X216" s="19">
        <v>0.5</v>
      </c>
      <c r="Y216" s="19">
        <v>0.1</v>
      </c>
      <c r="Z216" s="20">
        <v>4.4000000000000004</v>
      </c>
      <c r="AA216" s="20">
        <v>4.7</v>
      </c>
      <c r="AB216" s="20">
        <v>5.2</v>
      </c>
      <c r="AC216" s="20">
        <v>4.9000000000000004</v>
      </c>
      <c r="AD216" s="20">
        <v>3.7</v>
      </c>
      <c r="AE216" s="19">
        <v>-0.8</v>
      </c>
      <c r="AF216" s="19">
        <v>0.1</v>
      </c>
      <c r="AG216" s="19">
        <v>0.1</v>
      </c>
      <c r="AH216" s="19">
        <v>-0.2</v>
      </c>
      <c r="AI216" s="15">
        <v>5.6</v>
      </c>
      <c r="AJ216" s="15">
        <v>5.6</v>
      </c>
      <c r="AK216" s="15">
        <v>5.4</v>
      </c>
      <c r="AL216" s="15">
        <v>5.3</v>
      </c>
      <c r="AM216" s="15">
        <v>5.2</v>
      </c>
      <c r="AN216" s="19">
        <v>0</v>
      </c>
      <c r="AO216" s="19">
        <v>0</v>
      </c>
      <c r="AP216" s="19">
        <v>-0.1</v>
      </c>
      <c r="AQ216" s="19">
        <v>-0.1</v>
      </c>
    </row>
    <row r="217" spans="2:43">
      <c r="B217">
        <f t="shared" si="375"/>
        <v>2004</v>
      </c>
      <c r="C217">
        <f t="shared" si="376"/>
        <v>8</v>
      </c>
      <c r="D217" s="7">
        <v>38209</v>
      </c>
      <c r="E217" s="6">
        <v>38204</v>
      </c>
      <c r="F217" s="4">
        <v>1</v>
      </c>
      <c r="G217" s="4">
        <v>0</v>
      </c>
      <c r="H217" s="10">
        <v>3.9989999999999998E-2</v>
      </c>
      <c r="I217">
        <v>3.1092652172562098E-2</v>
      </c>
      <c r="J217" s="24">
        <v>81004</v>
      </c>
      <c r="K217" s="27">
        <v>38209</v>
      </c>
      <c r="L217" s="17">
        <v>38231</v>
      </c>
      <c r="M217" s="29">
        <v>38204</v>
      </c>
      <c r="N217" s="17">
        <v>38231</v>
      </c>
      <c r="O217" s="13">
        <v>0.25</v>
      </c>
      <c r="P217" s="26">
        <v>1.25</v>
      </c>
      <c r="Q217" s="20">
        <v>3.2</v>
      </c>
      <c r="R217" s="20">
        <v>0.9</v>
      </c>
      <c r="S217" s="20">
        <v>1.2</v>
      </c>
      <c r="T217" s="20">
        <v>1.9</v>
      </c>
      <c r="U217" s="20">
        <v>1.6</v>
      </c>
      <c r="V217" s="19">
        <v>0.6</v>
      </c>
      <c r="W217" s="19">
        <v>-0.2</v>
      </c>
      <c r="X217" s="19">
        <v>0.4</v>
      </c>
      <c r="Y217" s="19">
        <v>0.4</v>
      </c>
      <c r="Z217" s="20">
        <v>3.1</v>
      </c>
      <c r="AA217" s="20">
        <v>3.9</v>
      </c>
      <c r="AB217" s="20">
        <v>4.7</v>
      </c>
      <c r="AC217" s="20">
        <v>3.9</v>
      </c>
      <c r="AD217" s="20">
        <v>3.6</v>
      </c>
      <c r="AE217" s="19">
        <v>-1.6</v>
      </c>
      <c r="AF217" s="19">
        <v>-1.3</v>
      </c>
      <c r="AG217" s="19">
        <v>-0.2</v>
      </c>
      <c r="AH217" s="19">
        <v>0.2</v>
      </c>
      <c r="AI217" s="15">
        <v>5.6</v>
      </c>
      <c r="AJ217" s="15">
        <v>5.6</v>
      </c>
      <c r="AK217" s="15">
        <v>5.5</v>
      </c>
      <c r="AL217" s="15">
        <v>5.4</v>
      </c>
      <c r="AM217" s="15">
        <v>5.4</v>
      </c>
      <c r="AN217" s="19">
        <v>0</v>
      </c>
      <c r="AO217" s="19">
        <v>0.2</v>
      </c>
      <c r="AP217" s="19">
        <v>0.2</v>
      </c>
      <c r="AQ217" s="19">
        <v>0.2</v>
      </c>
    </row>
    <row r="218" spans="2:43">
      <c r="B218">
        <f t="shared" si="375"/>
        <v>2004</v>
      </c>
      <c r="C218">
        <f t="shared" si="376"/>
        <v>9</v>
      </c>
      <c r="D218" s="7">
        <v>38251</v>
      </c>
      <c r="E218" s="6">
        <v>38245</v>
      </c>
      <c r="F218" s="4">
        <v>1</v>
      </c>
      <c r="G218" s="4">
        <v>0</v>
      </c>
      <c r="H218" s="10">
        <v>-0.01</v>
      </c>
      <c r="I218">
        <v>-1.5314250229359E-2</v>
      </c>
      <c r="J218" s="24">
        <v>92104</v>
      </c>
      <c r="K218" s="27">
        <v>38251</v>
      </c>
      <c r="L218" s="17">
        <v>38231</v>
      </c>
      <c r="M218" s="29">
        <v>38245</v>
      </c>
      <c r="N218" s="17">
        <v>38231</v>
      </c>
      <c r="O218" s="13">
        <v>0.25</v>
      </c>
      <c r="P218" s="26">
        <v>1.5</v>
      </c>
      <c r="Q218" s="20">
        <v>3.2</v>
      </c>
      <c r="R218" s="20">
        <v>0.8</v>
      </c>
      <c r="S218" s="20">
        <v>1.1000000000000001</v>
      </c>
      <c r="T218" s="20">
        <v>2.1</v>
      </c>
      <c r="U218" s="20">
        <v>1.7</v>
      </c>
      <c r="V218" s="19">
        <v>0</v>
      </c>
      <c r="W218" s="19">
        <v>-0.1</v>
      </c>
      <c r="X218" s="19">
        <v>-0.1</v>
      </c>
      <c r="Y218" s="19">
        <v>0.2</v>
      </c>
      <c r="Z218" s="20">
        <v>3.3</v>
      </c>
      <c r="AA218" s="20">
        <v>3.6</v>
      </c>
      <c r="AB218" s="20">
        <v>4.0999999999999996</v>
      </c>
      <c r="AC218" s="20">
        <v>3.7</v>
      </c>
      <c r="AD218" s="20">
        <v>3.8</v>
      </c>
      <c r="AE218" s="19">
        <v>0.2</v>
      </c>
      <c r="AF218" s="19">
        <v>-0.3</v>
      </c>
      <c r="AG218" s="19">
        <v>-0.6</v>
      </c>
      <c r="AH218" s="19">
        <v>-0.2</v>
      </c>
      <c r="AI218" s="15">
        <v>5.6</v>
      </c>
      <c r="AJ218" s="15">
        <v>5.5</v>
      </c>
      <c r="AK218" s="15">
        <v>5.5</v>
      </c>
      <c r="AL218" s="15">
        <v>5.4</v>
      </c>
      <c r="AM218" s="15">
        <v>5.4</v>
      </c>
      <c r="AN218" s="19">
        <v>0</v>
      </c>
      <c r="AO218" s="19">
        <v>-0.1</v>
      </c>
      <c r="AP218" s="19">
        <v>0</v>
      </c>
      <c r="AQ218" s="19">
        <v>0</v>
      </c>
    </row>
    <row r="219" spans="2:43">
      <c r="B219">
        <f t="shared" si="375"/>
        <v>2004</v>
      </c>
      <c r="C219">
        <f t="shared" si="376"/>
        <v>11</v>
      </c>
      <c r="D219" s="7">
        <v>38301</v>
      </c>
      <c r="E219" s="6">
        <v>38294</v>
      </c>
      <c r="F219" s="4">
        <v>1</v>
      </c>
      <c r="G219" s="4">
        <v>0</v>
      </c>
      <c r="H219" s="10">
        <v>-9.9900000000000006E-3</v>
      </c>
      <c r="I219">
        <v>3.4047472723699201E-3</v>
      </c>
      <c r="J219" s="24">
        <v>111004</v>
      </c>
      <c r="K219" s="27">
        <v>38301</v>
      </c>
      <c r="L219" s="17">
        <v>38322</v>
      </c>
      <c r="M219" s="29">
        <v>38294</v>
      </c>
      <c r="N219" s="17">
        <v>38322</v>
      </c>
      <c r="O219" s="13">
        <v>0.25</v>
      </c>
      <c r="P219" s="26">
        <v>1.75</v>
      </c>
      <c r="Q219" s="20">
        <v>1.3</v>
      </c>
      <c r="R219" s="20">
        <v>1.7</v>
      </c>
      <c r="S219" s="20">
        <v>1.6</v>
      </c>
      <c r="T219" s="20">
        <v>1.3</v>
      </c>
      <c r="U219" s="20">
        <v>1.4</v>
      </c>
      <c r="V219" s="19">
        <v>0.5</v>
      </c>
      <c r="W219" s="19">
        <v>0.6</v>
      </c>
      <c r="X219" s="19">
        <v>-0.5</v>
      </c>
      <c r="Y219" s="19">
        <v>-0.4</v>
      </c>
      <c r="Z219" s="20">
        <v>3.4</v>
      </c>
      <c r="AA219" s="20">
        <v>3.4</v>
      </c>
      <c r="AB219" s="20">
        <v>3.1</v>
      </c>
      <c r="AC219" s="20">
        <v>3.8</v>
      </c>
      <c r="AD219" s="20">
        <v>3.9</v>
      </c>
      <c r="AE219" s="19">
        <v>-0.2</v>
      </c>
      <c r="AF219" s="19">
        <v>-0.7</v>
      </c>
      <c r="AG219" s="19">
        <v>-0.6</v>
      </c>
      <c r="AH219" s="19">
        <v>0</v>
      </c>
      <c r="AI219" s="15">
        <v>5.5</v>
      </c>
      <c r="AJ219" s="15">
        <v>5.5</v>
      </c>
      <c r="AK219" s="15">
        <v>5.5</v>
      </c>
      <c r="AL219" s="15">
        <v>5.4</v>
      </c>
      <c r="AM219" s="15">
        <v>5.4</v>
      </c>
      <c r="AN219" s="19">
        <v>0</v>
      </c>
      <c r="AO219" s="19">
        <v>0</v>
      </c>
      <c r="AP219" s="19">
        <v>0.1</v>
      </c>
      <c r="AQ219" s="19">
        <v>0</v>
      </c>
    </row>
    <row r="220" spans="2:43">
      <c r="B220">
        <f t="shared" si="375"/>
        <v>2004</v>
      </c>
      <c r="C220">
        <f t="shared" si="376"/>
        <v>12</v>
      </c>
      <c r="D220" s="7">
        <v>38335</v>
      </c>
      <c r="E220" s="6">
        <v>38329</v>
      </c>
      <c r="F220" s="4">
        <v>1</v>
      </c>
      <c r="G220" s="4">
        <v>0</v>
      </c>
      <c r="H220" s="10">
        <v>-5.0000000000000001E-3</v>
      </c>
      <c r="I220">
        <v>-1.14000654012636E-2</v>
      </c>
      <c r="J220" s="24">
        <v>121404</v>
      </c>
      <c r="K220" s="27">
        <v>38335</v>
      </c>
      <c r="L220" s="17">
        <v>38322</v>
      </c>
      <c r="M220" s="29">
        <v>38329</v>
      </c>
      <c r="N220" s="17">
        <v>38322</v>
      </c>
      <c r="O220" s="13">
        <v>0.25</v>
      </c>
      <c r="P220" s="26">
        <v>2</v>
      </c>
      <c r="Q220" s="20">
        <v>1.3</v>
      </c>
      <c r="R220" s="20">
        <v>1.9</v>
      </c>
      <c r="S220" s="20">
        <v>1.6</v>
      </c>
      <c r="T220" s="20">
        <v>1.3</v>
      </c>
      <c r="U220" s="20">
        <v>1.5</v>
      </c>
      <c r="V220" s="19">
        <v>0</v>
      </c>
      <c r="W220" s="19">
        <v>0.2</v>
      </c>
      <c r="X220" s="19">
        <v>0</v>
      </c>
      <c r="Y220" s="19">
        <v>0</v>
      </c>
      <c r="Z220" s="20">
        <v>3.7</v>
      </c>
      <c r="AA220" s="20">
        <v>3.7</v>
      </c>
      <c r="AB220" s="20">
        <v>3.4</v>
      </c>
      <c r="AC220" s="20">
        <v>4</v>
      </c>
      <c r="AD220" s="20">
        <v>4.0999999999999996</v>
      </c>
      <c r="AE220" s="19">
        <v>0.3</v>
      </c>
      <c r="AF220" s="19">
        <v>0.3</v>
      </c>
      <c r="AG220" s="19">
        <v>0.3</v>
      </c>
      <c r="AH220" s="19">
        <v>0.2</v>
      </c>
      <c r="AI220" s="15">
        <v>5.5</v>
      </c>
      <c r="AJ220" s="15">
        <v>5.4</v>
      </c>
      <c r="AK220" s="15">
        <v>5.4</v>
      </c>
      <c r="AL220" s="15">
        <v>5.3</v>
      </c>
      <c r="AM220" s="15">
        <v>5.3</v>
      </c>
      <c r="AN220" s="19">
        <v>0</v>
      </c>
      <c r="AO220" s="19">
        <v>-0.1</v>
      </c>
      <c r="AP220" s="19">
        <v>-0.1</v>
      </c>
      <c r="AQ220" s="19">
        <v>-0.1</v>
      </c>
    </row>
    <row r="221" spans="2:43">
      <c r="B221">
        <f t="shared" si="375"/>
        <v>2005</v>
      </c>
      <c r="C221">
        <f t="shared" si="376"/>
        <v>2</v>
      </c>
      <c r="D221" s="7">
        <v>38385</v>
      </c>
      <c r="E221" s="6">
        <v>38378</v>
      </c>
      <c r="F221" s="4">
        <v>1</v>
      </c>
      <c r="G221" s="4">
        <v>0</v>
      </c>
      <c r="H221" s="10">
        <v>0</v>
      </c>
      <c r="I221">
        <v>-1.44467074836467E-2</v>
      </c>
      <c r="J221" s="24">
        <v>20205</v>
      </c>
      <c r="K221" s="27">
        <v>38385</v>
      </c>
      <c r="L221" s="17">
        <v>38412</v>
      </c>
      <c r="M221" s="29">
        <v>38378</v>
      </c>
      <c r="N221" s="17">
        <v>38412</v>
      </c>
      <c r="O221" s="13">
        <v>0.25</v>
      </c>
      <c r="P221" s="26">
        <v>2.25</v>
      </c>
      <c r="Q221" s="20">
        <v>1.9</v>
      </c>
      <c r="R221" s="20">
        <v>1.3</v>
      </c>
      <c r="S221" s="20">
        <v>1.6</v>
      </c>
      <c r="T221" s="20">
        <v>1.6</v>
      </c>
      <c r="U221" s="20">
        <v>1.5</v>
      </c>
      <c r="V221" s="19">
        <v>0</v>
      </c>
      <c r="W221" s="19">
        <v>-0.3</v>
      </c>
      <c r="X221" s="19">
        <v>0.3</v>
      </c>
      <c r="Y221" s="19">
        <v>0.1</v>
      </c>
      <c r="Z221" s="20">
        <v>3.5</v>
      </c>
      <c r="AA221" s="20">
        <v>3.8</v>
      </c>
      <c r="AB221" s="20">
        <v>4</v>
      </c>
      <c r="AC221" s="20">
        <v>3.9</v>
      </c>
      <c r="AD221" s="20">
        <v>3.8</v>
      </c>
      <c r="AE221" s="19">
        <v>-0.2</v>
      </c>
      <c r="AF221" s="19">
        <v>0.4</v>
      </c>
      <c r="AG221" s="19">
        <v>0</v>
      </c>
      <c r="AH221" s="19">
        <v>-0.2</v>
      </c>
      <c r="AI221" s="15">
        <v>5.4</v>
      </c>
      <c r="AJ221" s="15">
        <v>5.4</v>
      </c>
      <c r="AK221" s="15">
        <v>5.3</v>
      </c>
      <c r="AL221" s="15">
        <v>5.3</v>
      </c>
      <c r="AM221" s="15">
        <v>5.3</v>
      </c>
      <c r="AN221" s="19">
        <v>0</v>
      </c>
      <c r="AO221" s="19">
        <v>0</v>
      </c>
      <c r="AP221" s="19">
        <v>0</v>
      </c>
      <c r="AQ221" s="19">
        <v>0</v>
      </c>
    </row>
    <row r="222" spans="2:43">
      <c r="B222">
        <f t="shared" si="375"/>
        <v>2005</v>
      </c>
      <c r="C222">
        <f t="shared" si="376"/>
        <v>3</v>
      </c>
      <c r="D222" s="7">
        <v>38433</v>
      </c>
      <c r="E222" s="6">
        <v>38427</v>
      </c>
      <c r="F222" s="4">
        <v>1</v>
      </c>
      <c r="G222" s="4">
        <v>0</v>
      </c>
      <c r="H222" s="10">
        <v>0.01</v>
      </c>
      <c r="I222">
        <v>6.2327315909432596E-3</v>
      </c>
      <c r="J222" s="24">
        <v>32205</v>
      </c>
      <c r="K222" s="27">
        <v>38433</v>
      </c>
      <c r="L222" s="17">
        <v>38412</v>
      </c>
      <c r="M222" s="29">
        <v>38427</v>
      </c>
      <c r="N222" s="17">
        <v>38412</v>
      </c>
      <c r="O222" s="13">
        <v>0.25</v>
      </c>
      <c r="P222" s="26">
        <v>2.5</v>
      </c>
      <c r="Q222" s="20">
        <v>2.2000000000000002</v>
      </c>
      <c r="R222" s="20">
        <v>2.8</v>
      </c>
      <c r="S222" s="20">
        <v>1.8</v>
      </c>
      <c r="T222" s="20">
        <v>1.2</v>
      </c>
      <c r="U222" s="20">
        <v>1.4</v>
      </c>
      <c r="V222" s="19">
        <v>0.3</v>
      </c>
      <c r="W222" s="19">
        <v>1.5</v>
      </c>
      <c r="X222" s="19">
        <v>0.2</v>
      </c>
      <c r="Y222" s="19">
        <v>-0.4</v>
      </c>
      <c r="Z222" s="20">
        <v>4.3</v>
      </c>
      <c r="AA222" s="20">
        <v>4.3</v>
      </c>
      <c r="AB222" s="20">
        <v>4.0999999999999996</v>
      </c>
      <c r="AC222" s="20">
        <v>3.9</v>
      </c>
      <c r="AD222" s="20">
        <v>3.8</v>
      </c>
      <c r="AE222" s="19">
        <v>0.8</v>
      </c>
      <c r="AF222" s="19">
        <v>0.5</v>
      </c>
      <c r="AG222" s="19">
        <v>0.1</v>
      </c>
      <c r="AH222" s="19">
        <v>0</v>
      </c>
      <c r="AI222" s="15">
        <v>5.4</v>
      </c>
      <c r="AJ222" s="15">
        <v>5.3</v>
      </c>
      <c r="AK222" s="15">
        <v>5.3</v>
      </c>
      <c r="AL222" s="15">
        <v>5.3</v>
      </c>
      <c r="AM222" s="15">
        <v>5.3</v>
      </c>
      <c r="AN222" s="19">
        <v>0</v>
      </c>
      <c r="AO222" s="19">
        <v>-0.1</v>
      </c>
      <c r="AP222" s="19">
        <v>0</v>
      </c>
      <c r="AQ222" s="19">
        <v>0</v>
      </c>
    </row>
    <row r="223" spans="2:43">
      <c r="B223">
        <f t="shared" si="375"/>
        <v>2005</v>
      </c>
      <c r="C223">
        <f t="shared" si="376"/>
        <v>5</v>
      </c>
      <c r="D223" s="7">
        <v>38475</v>
      </c>
      <c r="E223" s="6">
        <v>38470</v>
      </c>
      <c r="F223" s="4">
        <v>1</v>
      </c>
      <c r="G223" s="4">
        <v>0</v>
      </c>
      <c r="H223" s="10">
        <v>0.01</v>
      </c>
      <c r="I223">
        <v>1.17144676987667E-2</v>
      </c>
      <c r="J223" s="24">
        <v>50305</v>
      </c>
      <c r="K223" s="27">
        <v>38475</v>
      </c>
      <c r="L223" s="17">
        <v>38504</v>
      </c>
      <c r="M223" s="29">
        <v>38470</v>
      </c>
      <c r="N223" s="17">
        <v>38504</v>
      </c>
      <c r="O223" s="13">
        <v>0.25</v>
      </c>
      <c r="P223" s="26">
        <v>2.75</v>
      </c>
      <c r="Q223" s="20">
        <v>3.3</v>
      </c>
      <c r="R223" s="20">
        <v>2.6</v>
      </c>
      <c r="S223" s="20">
        <v>1.2</v>
      </c>
      <c r="T223" s="20">
        <v>1.5</v>
      </c>
      <c r="U223" s="20">
        <v>2.1</v>
      </c>
      <c r="V223" s="19">
        <v>0.5</v>
      </c>
      <c r="W223" s="19">
        <v>0.8</v>
      </c>
      <c r="X223" s="19">
        <v>0</v>
      </c>
      <c r="Y223" s="19">
        <v>0.1</v>
      </c>
      <c r="Z223" s="20">
        <v>3.1</v>
      </c>
      <c r="AA223" s="20">
        <v>3.6</v>
      </c>
      <c r="AB223" s="20">
        <v>3.7</v>
      </c>
      <c r="AC223" s="20">
        <v>3.7</v>
      </c>
      <c r="AD223" s="20">
        <v>3.6</v>
      </c>
      <c r="AE223" s="19">
        <v>-1.2</v>
      </c>
      <c r="AF223" s="19">
        <v>-0.5</v>
      </c>
      <c r="AG223" s="19">
        <v>-0.2</v>
      </c>
      <c r="AH223" s="19">
        <v>-0.1</v>
      </c>
      <c r="AI223" s="15">
        <v>5.3</v>
      </c>
      <c r="AJ223" s="15">
        <v>5.3</v>
      </c>
      <c r="AK223" s="15">
        <v>5.3</v>
      </c>
      <c r="AL223" s="15">
        <v>5.3</v>
      </c>
      <c r="AM223" s="15">
        <v>5.3</v>
      </c>
      <c r="AN223" s="19">
        <v>0</v>
      </c>
      <c r="AO223" s="19">
        <v>0</v>
      </c>
      <c r="AP223" s="19">
        <v>0</v>
      </c>
      <c r="AQ223" s="19">
        <v>0</v>
      </c>
    </row>
    <row r="224" spans="2:43">
      <c r="B224">
        <f t="shared" si="375"/>
        <v>2005</v>
      </c>
      <c r="C224">
        <f t="shared" si="376"/>
        <v>6</v>
      </c>
      <c r="D224" s="7">
        <v>38533</v>
      </c>
      <c r="E224" s="6">
        <v>38525</v>
      </c>
      <c r="F224" s="4">
        <v>1</v>
      </c>
      <c r="G224" s="4">
        <v>0</v>
      </c>
      <c r="H224" s="10">
        <v>1.4999999999999999E-2</v>
      </c>
      <c r="I224">
        <v>1.63704539686562E-2</v>
      </c>
      <c r="J224" s="24">
        <v>63005</v>
      </c>
      <c r="K224" s="27">
        <v>38533</v>
      </c>
      <c r="L224" s="17">
        <v>38504</v>
      </c>
      <c r="M224" s="29">
        <v>38525</v>
      </c>
      <c r="N224" s="17">
        <v>38504</v>
      </c>
      <c r="O224" s="13">
        <v>0.25</v>
      </c>
      <c r="P224" s="26">
        <v>3</v>
      </c>
      <c r="Q224" s="20">
        <v>3.1</v>
      </c>
      <c r="R224" s="20">
        <v>2.5</v>
      </c>
      <c r="S224" s="20">
        <v>1.6</v>
      </c>
      <c r="T224" s="20">
        <v>1.9</v>
      </c>
      <c r="U224" s="20">
        <v>2.2000000000000002</v>
      </c>
      <c r="V224" s="19">
        <v>-0.2</v>
      </c>
      <c r="W224" s="19">
        <v>-0.1</v>
      </c>
      <c r="X224" s="19">
        <v>0.4</v>
      </c>
      <c r="Y224" s="19">
        <v>0.4</v>
      </c>
      <c r="Z224" s="20">
        <v>3.9</v>
      </c>
      <c r="AA224" s="20">
        <v>3</v>
      </c>
      <c r="AB224" s="20">
        <v>3.8</v>
      </c>
      <c r="AC224" s="20">
        <v>3.7</v>
      </c>
      <c r="AD224" s="20">
        <v>3.5</v>
      </c>
      <c r="AE224" s="19">
        <v>0.8</v>
      </c>
      <c r="AF224" s="19">
        <v>-0.6</v>
      </c>
      <c r="AG224" s="19">
        <v>0.1</v>
      </c>
      <c r="AH224" s="19">
        <v>0</v>
      </c>
      <c r="AI224" s="15">
        <v>5.3</v>
      </c>
      <c r="AJ224" s="15">
        <v>5.0999999999999996</v>
      </c>
      <c r="AK224" s="15">
        <v>5.0999999999999996</v>
      </c>
      <c r="AL224" s="15">
        <v>5.0999999999999996</v>
      </c>
      <c r="AM224" s="15">
        <v>5.0999999999999996</v>
      </c>
      <c r="AN224" s="19">
        <v>0</v>
      </c>
      <c r="AO224" s="19">
        <v>-0.2</v>
      </c>
      <c r="AP224" s="19">
        <v>-0.2</v>
      </c>
      <c r="AQ224" s="19">
        <v>-0.2</v>
      </c>
    </row>
    <row r="225" spans="2:43">
      <c r="B225">
        <f t="shared" si="375"/>
        <v>2005</v>
      </c>
      <c r="C225">
        <f t="shared" si="376"/>
        <v>8</v>
      </c>
      <c r="D225" s="7">
        <v>38573</v>
      </c>
      <c r="E225" s="6">
        <v>38568</v>
      </c>
      <c r="F225" s="4">
        <v>1</v>
      </c>
      <c r="G225" s="4">
        <v>0</v>
      </c>
      <c r="H225" s="10">
        <v>-0.01</v>
      </c>
      <c r="I225">
        <v>-2.6117945007803001E-2</v>
      </c>
      <c r="J225" s="24">
        <v>80905</v>
      </c>
      <c r="K225" s="27">
        <v>38573</v>
      </c>
      <c r="L225" s="17">
        <v>38596</v>
      </c>
      <c r="M225" s="29">
        <v>38568</v>
      </c>
      <c r="N225" s="17">
        <v>38596</v>
      </c>
      <c r="O225" s="13">
        <v>0.25</v>
      </c>
      <c r="P225" s="26">
        <v>3.25</v>
      </c>
      <c r="Q225" s="20">
        <v>2.5</v>
      </c>
      <c r="R225" s="20">
        <v>1.6</v>
      </c>
      <c r="S225" s="20">
        <v>2</v>
      </c>
      <c r="T225" s="20">
        <v>2.4</v>
      </c>
      <c r="U225" s="20">
        <v>2</v>
      </c>
      <c r="V225" s="19">
        <v>0</v>
      </c>
      <c r="W225" s="19">
        <v>0</v>
      </c>
      <c r="X225" s="19">
        <v>0.1</v>
      </c>
      <c r="Y225" s="19">
        <v>0.2</v>
      </c>
      <c r="Z225" s="20">
        <v>3.3</v>
      </c>
      <c r="AA225" s="20">
        <v>4.3</v>
      </c>
      <c r="AB225" s="20">
        <v>4</v>
      </c>
      <c r="AC225" s="20">
        <v>3</v>
      </c>
      <c r="AD225" s="20">
        <v>3.1</v>
      </c>
      <c r="AE225" s="19">
        <v>0.3</v>
      </c>
      <c r="AF225" s="19">
        <v>0.5</v>
      </c>
      <c r="AG225" s="19">
        <v>0.3</v>
      </c>
      <c r="AH225" s="19">
        <v>-0.5</v>
      </c>
      <c r="AI225" s="15">
        <v>5.0999999999999996</v>
      </c>
      <c r="AJ225" s="15">
        <v>5</v>
      </c>
      <c r="AK225" s="15">
        <v>5</v>
      </c>
      <c r="AL225" s="15">
        <v>5</v>
      </c>
      <c r="AM225" s="15">
        <v>5</v>
      </c>
      <c r="AN225" s="19">
        <v>0</v>
      </c>
      <c r="AO225" s="19">
        <v>-0.1</v>
      </c>
      <c r="AP225" s="19">
        <v>-0.1</v>
      </c>
      <c r="AQ225" s="19">
        <v>-0.1</v>
      </c>
    </row>
    <row r="226" spans="2:43">
      <c r="B226">
        <f t="shared" si="375"/>
        <v>2005</v>
      </c>
      <c r="C226">
        <f t="shared" si="376"/>
        <v>9</v>
      </c>
      <c r="D226" s="7">
        <v>38615</v>
      </c>
      <c r="E226" s="6">
        <v>38609</v>
      </c>
      <c r="F226" s="4">
        <v>1</v>
      </c>
      <c r="G226" s="4">
        <v>0</v>
      </c>
      <c r="H226" s="10">
        <v>0.03</v>
      </c>
      <c r="I226">
        <v>6.0379736004328402E-2</v>
      </c>
      <c r="J226" s="24">
        <v>92005</v>
      </c>
      <c r="K226" s="27">
        <v>38615</v>
      </c>
      <c r="L226" s="17">
        <v>38596</v>
      </c>
      <c r="M226" s="29">
        <v>38609</v>
      </c>
      <c r="N226" s="17">
        <v>38596</v>
      </c>
      <c r="O226" s="13">
        <v>0.25</v>
      </c>
      <c r="P226" s="26">
        <v>3.5</v>
      </c>
      <c r="Q226" s="20">
        <v>2.5</v>
      </c>
      <c r="R226" s="20">
        <v>2.6</v>
      </c>
      <c r="S226" s="20">
        <v>2.8</v>
      </c>
      <c r="T226" s="20">
        <v>1.7</v>
      </c>
      <c r="U226" s="20">
        <v>2.1</v>
      </c>
      <c r="V226" s="19">
        <v>0</v>
      </c>
      <c r="W226" s="19">
        <v>1</v>
      </c>
      <c r="X226" s="19">
        <v>0.8</v>
      </c>
      <c r="Y226" s="19">
        <v>-0.7</v>
      </c>
      <c r="Z226" s="20">
        <v>3.2</v>
      </c>
      <c r="AA226" s="20">
        <v>3.1</v>
      </c>
      <c r="AB226" s="20">
        <v>3.7</v>
      </c>
      <c r="AC226" s="20">
        <v>4.2</v>
      </c>
      <c r="AD226" s="20">
        <v>3.5</v>
      </c>
      <c r="AE226" s="19">
        <v>-0.1</v>
      </c>
      <c r="AF226" s="19">
        <v>-1.2</v>
      </c>
      <c r="AG226" s="19">
        <v>-0.3</v>
      </c>
      <c r="AH226" s="19">
        <v>1.2</v>
      </c>
      <c r="AI226" s="15">
        <v>5.0999999999999996</v>
      </c>
      <c r="AJ226" s="15">
        <v>5</v>
      </c>
      <c r="AK226" s="15">
        <v>5</v>
      </c>
      <c r="AL226" s="15">
        <v>5</v>
      </c>
      <c r="AM226" s="15">
        <v>5</v>
      </c>
      <c r="AN226" s="19">
        <v>0</v>
      </c>
      <c r="AO226" s="19">
        <v>0</v>
      </c>
      <c r="AP226" s="19">
        <v>0</v>
      </c>
      <c r="AQ226" s="19">
        <v>0</v>
      </c>
    </row>
    <row r="227" spans="2:43">
      <c r="B227">
        <f t="shared" si="375"/>
        <v>2005</v>
      </c>
      <c r="C227">
        <f t="shared" si="376"/>
        <v>11</v>
      </c>
      <c r="D227" s="7">
        <v>38657</v>
      </c>
      <c r="E227" s="6">
        <v>38651</v>
      </c>
      <c r="F227" s="4">
        <v>1</v>
      </c>
      <c r="G227" s="4">
        <v>0</v>
      </c>
      <c r="H227" s="10">
        <v>0</v>
      </c>
      <c r="I227">
        <v>3.6539286919713E-3</v>
      </c>
      <c r="J227" s="24">
        <v>110105</v>
      </c>
      <c r="K227" s="27">
        <v>38657</v>
      </c>
      <c r="L227" s="17">
        <v>38687</v>
      </c>
      <c r="M227" s="29">
        <v>38651</v>
      </c>
      <c r="N227" s="17">
        <v>38687</v>
      </c>
      <c r="O227" s="13">
        <v>0.25</v>
      </c>
      <c r="P227" s="26">
        <v>3.75</v>
      </c>
      <c r="Q227" s="20">
        <v>2.6</v>
      </c>
      <c r="R227" s="20">
        <v>3</v>
      </c>
      <c r="S227" s="20">
        <v>1.8</v>
      </c>
      <c r="T227" s="20">
        <v>2.2000000000000002</v>
      </c>
      <c r="U227" s="20">
        <v>2.1</v>
      </c>
      <c r="V227" s="19">
        <v>0</v>
      </c>
      <c r="W227" s="19">
        <v>0.2</v>
      </c>
      <c r="X227" s="19">
        <v>0.1</v>
      </c>
      <c r="Y227" s="19">
        <v>0.1</v>
      </c>
      <c r="Z227" s="20">
        <v>3.2</v>
      </c>
      <c r="AA227" s="20">
        <v>3.5</v>
      </c>
      <c r="AB227" s="20">
        <v>4</v>
      </c>
      <c r="AC227" s="20">
        <v>3.6</v>
      </c>
      <c r="AD227" s="20">
        <v>2.9</v>
      </c>
      <c r="AE227" s="19">
        <v>0.1</v>
      </c>
      <c r="AF227" s="19">
        <v>-0.2</v>
      </c>
      <c r="AG227" s="19">
        <v>-0.2</v>
      </c>
      <c r="AH227" s="19">
        <v>0.1</v>
      </c>
      <c r="AI227" s="15">
        <v>5</v>
      </c>
      <c r="AJ227" s="15">
        <v>5</v>
      </c>
      <c r="AK227" s="15">
        <v>5</v>
      </c>
      <c r="AL227" s="15">
        <v>5</v>
      </c>
      <c r="AM227" s="15">
        <v>5</v>
      </c>
      <c r="AN227" s="19">
        <v>0</v>
      </c>
      <c r="AO227" s="19">
        <v>0</v>
      </c>
      <c r="AP227" s="19">
        <v>0</v>
      </c>
      <c r="AQ227" s="19">
        <v>0</v>
      </c>
    </row>
    <row r="228" spans="2:43">
      <c r="B228">
        <f t="shared" si="375"/>
        <v>2005</v>
      </c>
      <c r="C228">
        <f t="shared" si="376"/>
        <v>12</v>
      </c>
      <c r="D228" s="7">
        <v>38699</v>
      </c>
      <c r="E228" s="6">
        <v>38693</v>
      </c>
      <c r="F228" s="4">
        <v>1</v>
      </c>
      <c r="G228" s="4">
        <v>0</v>
      </c>
      <c r="H228" s="10">
        <v>-5.0000000000000001E-3</v>
      </c>
      <c r="I228">
        <v>6.4388972817026803E-4</v>
      </c>
      <c r="J228" s="24">
        <v>121305</v>
      </c>
      <c r="K228" s="27">
        <v>38699</v>
      </c>
      <c r="L228" s="17">
        <v>38687</v>
      </c>
      <c r="M228" s="29">
        <v>38693</v>
      </c>
      <c r="N228" s="17">
        <v>38687</v>
      </c>
      <c r="O228" s="13">
        <v>0.25</v>
      </c>
      <c r="P228" s="26">
        <v>4</v>
      </c>
      <c r="Q228" s="20">
        <v>3.1</v>
      </c>
      <c r="R228" s="20">
        <v>2.2000000000000002</v>
      </c>
      <c r="S228" s="20">
        <v>2.7</v>
      </c>
      <c r="T228" s="20">
        <v>2.4</v>
      </c>
      <c r="U228" s="20">
        <v>2.2000000000000002</v>
      </c>
      <c r="V228" s="19">
        <v>0.5</v>
      </c>
      <c r="W228" s="19">
        <v>-0.8</v>
      </c>
      <c r="X228" s="19">
        <v>0.9</v>
      </c>
      <c r="Y228" s="19">
        <v>0.2</v>
      </c>
      <c r="Z228" s="20">
        <v>4.3</v>
      </c>
      <c r="AA228" s="20">
        <v>3.4</v>
      </c>
      <c r="AB228" s="20">
        <v>3.7</v>
      </c>
      <c r="AC228" s="20">
        <v>3.5</v>
      </c>
      <c r="AD228" s="20">
        <v>3.4</v>
      </c>
      <c r="AE228" s="19">
        <v>1.1000000000000001</v>
      </c>
      <c r="AF228" s="19">
        <v>-0.1</v>
      </c>
      <c r="AG228" s="19">
        <v>-0.3</v>
      </c>
      <c r="AH228" s="19">
        <v>-0.1</v>
      </c>
      <c r="AI228" s="15">
        <v>5</v>
      </c>
      <c r="AJ228" s="15">
        <v>5</v>
      </c>
      <c r="AK228" s="15">
        <v>5</v>
      </c>
      <c r="AL228" s="15">
        <v>5</v>
      </c>
      <c r="AM228" s="15">
        <v>5</v>
      </c>
      <c r="AN228" s="19">
        <v>0</v>
      </c>
      <c r="AO228" s="19">
        <v>0</v>
      </c>
      <c r="AP228" s="19">
        <v>0</v>
      </c>
      <c r="AQ228" s="19">
        <v>0</v>
      </c>
    </row>
    <row r="229" spans="2:43">
      <c r="B229">
        <f t="shared" si="375"/>
        <v>2006</v>
      </c>
      <c r="C229">
        <f t="shared" si="376"/>
        <v>1</v>
      </c>
      <c r="D229" s="7">
        <v>38748</v>
      </c>
      <c r="E229" s="6">
        <v>38742</v>
      </c>
      <c r="F229" s="4">
        <v>1</v>
      </c>
      <c r="G229" s="4">
        <v>0</v>
      </c>
      <c r="H229" s="10">
        <v>2.5000000000000001E-2</v>
      </c>
      <c r="I229">
        <v>5.3543756555869898E-3</v>
      </c>
      <c r="J229" s="24">
        <v>13106</v>
      </c>
      <c r="K229" s="27">
        <v>38748</v>
      </c>
      <c r="L229" s="17">
        <v>38777</v>
      </c>
      <c r="M229" s="29">
        <v>38742</v>
      </c>
      <c r="N229" s="17">
        <v>38777</v>
      </c>
      <c r="O229" s="13">
        <v>0.25</v>
      </c>
      <c r="P229" s="26">
        <v>4.25</v>
      </c>
      <c r="Q229" s="20">
        <v>2.6</v>
      </c>
      <c r="R229" s="20">
        <v>2.1</v>
      </c>
      <c r="S229" s="20">
        <v>2.5</v>
      </c>
      <c r="T229" s="20">
        <v>2.2000000000000002</v>
      </c>
      <c r="U229" s="20">
        <v>2</v>
      </c>
      <c r="V229" s="19">
        <v>0.4</v>
      </c>
      <c r="W229" s="19">
        <v>-0.6</v>
      </c>
      <c r="X229" s="19">
        <v>0.1</v>
      </c>
      <c r="Y229" s="19">
        <v>0</v>
      </c>
      <c r="Z229" s="20">
        <v>2.4</v>
      </c>
      <c r="AA229" s="20">
        <v>4.0999999999999996</v>
      </c>
      <c r="AB229" s="20">
        <v>3.8</v>
      </c>
      <c r="AC229" s="20">
        <v>3.6</v>
      </c>
      <c r="AD229" s="20">
        <v>3.3</v>
      </c>
      <c r="AE229" s="19">
        <v>-1</v>
      </c>
      <c r="AF229" s="19">
        <v>0.4</v>
      </c>
      <c r="AG229" s="19">
        <v>0.3</v>
      </c>
      <c r="AH229" s="19">
        <v>0.2</v>
      </c>
      <c r="AI229" s="15">
        <v>5</v>
      </c>
      <c r="AJ229" s="15">
        <v>5</v>
      </c>
      <c r="AK229" s="15">
        <v>5</v>
      </c>
      <c r="AL229" s="15">
        <v>5</v>
      </c>
      <c r="AM229" s="15">
        <v>5</v>
      </c>
      <c r="AN229" s="19">
        <v>0</v>
      </c>
      <c r="AO229" s="19">
        <v>0</v>
      </c>
      <c r="AP229" s="19">
        <v>0</v>
      </c>
      <c r="AQ229" s="19">
        <v>0</v>
      </c>
    </row>
    <row r="230" spans="2:43">
      <c r="B230">
        <f t="shared" si="375"/>
        <v>2006</v>
      </c>
      <c r="C230">
        <f t="shared" si="376"/>
        <v>3</v>
      </c>
      <c r="D230" s="7">
        <v>38804</v>
      </c>
      <c r="E230" s="6">
        <v>38798</v>
      </c>
      <c r="F230" s="4">
        <v>1</v>
      </c>
      <c r="G230" s="4">
        <v>0</v>
      </c>
      <c r="H230" s="10">
        <v>0.03</v>
      </c>
      <c r="I230">
        <v>3.67794854153774E-2</v>
      </c>
      <c r="J230" s="24">
        <v>32806</v>
      </c>
      <c r="K230" s="27">
        <v>38804</v>
      </c>
      <c r="L230" s="17">
        <v>38777</v>
      </c>
      <c r="M230" s="29">
        <v>38798</v>
      </c>
      <c r="N230" s="17">
        <v>38777</v>
      </c>
      <c r="O230" s="13">
        <v>0.25</v>
      </c>
      <c r="P230" s="26">
        <v>4.5</v>
      </c>
      <c r="Q230" s="20">
        <v>3.3</v>
      </c>
      <c r="R230" s="20">
        <v>3.4</v>
      </c>
      <c r="S230" s="20">
        <v>2.6</v>
      </c>
      <c r="T230" s="20">
        <v>2</v>
      </c>
      <c r="U230" s="20">
        <v>2</v>
      </c>
      <c r="V230" s="19">
        <v>0.7</v>
      </c>
      <c r="W230" s="19">
        <v>1.3</v>
      </c>
      <c r="X230" s="19">
        <v>0.1</v>
      </c>
      <c r="Y230" s="19">
        <v>-0.2</v>
      </c>
      <c r="Z230" s="20">
        <v>1.8</v>
      </c>
      <c r="AA230" s="20">
        <v>4.7</v>
      </c>
      <c r="AB230" s="20">
        <v>3.5</v>
      </c>
      <c r="AC230" s="20">
        <v>3.7</v>
      </c>
      <c r="AD230" s="20">
        <v>3.4</v>
      </c>
      <c r="AE230" s="19">
        <v>-0.6</v>
      </c>
      <c r="AF230" s="19">
        <v>0.6</v>
      </c>
      <c r="AG230" s="19">
        <v>-0.3</v>
      </c>
      <c r="AH230" s="19">
        <v>0.1</v>
      </c>
      <c r="AI230" s="15">
        <v>5</v>
      </c>
      <c r="AJ230" s="15">
        <v>4.8</v>
      </c>
      <c r="AK230" s="15">
        <v>4.8</v>
      </c>
      <c r="AL230" s="15">
        <v>4.8</v>
      </c>
      <c r="AM230" s="15">
        <v>4.8</v>
      </c>
      <c r="AN230" s="19">
        <v>0</v>
      </c>
      <c r="AO230" s="19">
        <v>-0.2</v>
      </c>
      <c r="AP230" s="19">
        <v>-0.2</v>
      </c>
      <c r="AQ230" s="19">
        <v>-0.2</v>
      </c>
    </row>
    <row r="231" spans="2:43">
      <c r="B231">
        <f t="shared" si="375"/>
        <v>2006</v>
      </c>
      <c r="C231">
        <f t="shared" si="376"/>
        <v>5</v>
      </c>
      <c r="D231" s="7">
        <v>38847</v>
      </c>
      <c r="E231" s="6">
        <v>38840</v>
      </c>
      <c r="F231" s="4">
        <v>1</v>
      </c>
      <c r="G231" s="4">
        <v>0</v>
      </c>
      <c r="H231" s="10">
        <v>3.5000000000000003E-2</v>
      </c>
      <c r="I231">
        <v>3.2404737475937702E-2</v>
      </c>
      <c r="J231" s="24">
        <v>51006</v>
      </c>
      <c r="K231" s="27">
        <v>38847</v>
      </c>
      <c r="L231" s="17">
        <v>38869</v>
      </c>
      <c r="M231" s="29">
        <v>38840</v>
      </c>
      <c r="N231" s="17">
        <v>38869</v>
      </c>
      <c r="O231" s="13">
        <v>0.25</v>
      </c>
      <c r="P231" s="26">
        <v>4.75</v>
      </c>
      <c r="Q231" s="20">
        <v>3.3</v>
      </c>
      <c r="R231" s="20">
        <v>3.2</v>
      </c>
      <c r="S231" s="20">
        <v>1.9</v>
      </c>
      <c r="T231" s="20">
        <v>2.1</v>
      </c>
      <c r="U231" s="20">
        <v>2.2999999999999998</v>
      </c>
      <c r="V231" s="19">
        <v>-0.1</v>
      </c>
      <c r="W231" s="19">
        <v>0.6</v>
      </c>
      <c r="X231" s="19">
        <v>-0.1</v>
      </c>
      <c r="Y231" s="19">
        <v>0.1</v>
      </c>
      <c r="Z231" s="20">
        <v>5.3</v>
      </c>
      <c r="AA231" s="20">
        <v>3.7</v>
      </c>
      <c r="AB231" s="20">
        <v>3.2</v>
      </c>
      <c r="AC231" s="20">
        <v>3.1</v>
      </c>
      <c r="AD231" s="20">
        <v>3</v>
      </c>
      <c r="AE231" s="19">
        <v>0.6</v>
      </c>
      <c r="AF231" s="19">
        <v>0.2</v>
      </c>
      <c r="AG231" s="19">
        <v>-0.5</v>
      </c>
      <c r="AH231" s="19">
        <v>-0.3</v>
      </c>
      <c r="AI231" s="15">
        <v>4.7</v>
      </c>
      <c r="AJ231" s="15">
        <v>4.7</v>
      </c>
      <c r="AK231" s="15">
        <v>4.8</v>
      </c>
      <c r="AL231" s="15">
        <v>4.8</v>
      </c>
      <c r="AM231" s="15">
        <v>4.9000000000000004</v>
      </c>
      <c r="AN231" s="19">
        <v>-0.1</v>
      </c>
      <c r="AO231" s="19">
        <v>-0.1</v>
      </c>
      <c r="AP231" s="19">
        <v>0</v>
      </c>
      <c r="AQ231" s="19">
        <v>0</v>
      </c>
    </row>
    <row r="232" spans="2:43">
      <c r="B232">
        <f t="shared" si="375"/>
        <v>2006</v>
      </c>
      <c r="C232">
        <f t="shared" si="376"/>
        <v>6</v>
      </c>
      <c r="D232" s="7">
        <v>38897</v>
      </c>
      <c r="E232" s="6">
        <v>38889</v>
      </c>
      <c r="F232" s="4">
        <v>1</v>
      </c>
      <c r="G232" s="4">
        <v>0</v>
      </c>
      <c r="H232" s="10">
        <v>-2.5000000000000001E-2</v>
      </c>
      <c r="I232">
        <v>-3.5078684002090598E-3</v>
      </c>
      <c r="J232" s="24">
        <v>62906</v>
      </c>
      <c r="K232" s="27">
        <v>38897</v>
      </c>
      <c r="L232" s="17">
        <v>38869</v>
      </c>
      <c r="M232" s="29">
        <v>38889</v>
      </c>
      <c r="N232" s="17">
        <v>38869</v>
      </c>
      <c r="O232" s="13">
        <v>0.25</v>
      </c>
      <c r="P232" s="26">
        <v>5</v>
      </c>
      <c r="Q232" s="20">
        <v>3.3</v>
      </c>
      <c r="R232" s="20">
        <v>3.8</v>
      </c>
      <c r="S232" s="20">
        <v>2.2999999999999998</v>
      </c>
      <c r="T232" s="20">
        <v>1.6</v>
      </c>
      <c r="U232" s="20">
        <v>2.2999999999999998</v>
      </c>
      <c r="V232" s="19">
        <v>0</v>
      </c>
      <c r="W232" s="19">
        <v>0.6</v>
      </c>
      <c r="X232" s="19">
        <v>0.4</v>
      </c>
      <c r="Y232" s="19">
        <v>-0.5</v>
      </c>
      <c r="Z232" s="20">
        <v>5.8</v>
      </c>
      <c r="AA232" s="20">
        <v>2</v>
      </c>
      <c r="AB232" s="20">
        <v>2.7</v>
      </c>
      <c r="AC232" s="20">
        <v>2.7</v>
      </c>
      <c r="AD232" s="20">
        <v>2.5</v>
      </c>
      <c r="AE232" s="19">
        <v>0.5</v>
      </c>
      <c r="AF232" s="19">
        <v>-1.7</v>
      </c>
      <c r="AG232" s="19">
        <v>-0.5</v>
      </c>
      <c r="AH232" s="19">
        <v>-0.4</v>
      </c>
      <c r="AI232" s="15">
        <v>4.7</v>
      </c>
      <c r="AJ232" s="15">
        <v>4.7</v>
      </c>
      <c r="AK232" s="15">
        <v>4.8</v>
      </c>
      <c r="AL232" s="15">
        <v>4.9000000000000004</v>
      </c>
      <c r="AM232" s="15">
        <v>5</v>
      </c>
      <c r="AN232" s="19">
        <v>0</v>
      </c>
      <c r="AO232" s="19">
        <v>0</v>
      </c>
      <c r="AP232" s="19">
        <v>0</v>
      </c>
      <c r="AQ232" s="19">
        <v>0.1</v>
      </c>
    </row>
    <row r="233" spans="2:43">
      <c r="B233">
        <f t="shared" si="375"/>
        <v>2006</v>
      </c>
      <c r="C233">
        <f t="shared" si="376"/>
        <v>8</v>
      </c>
      <c r="D233" s="7">
        <v>38937</v>
      </c>
      <c r="E233" s="6">
        <v>38932</v>
      </c>
      <c r="F233" s="4">
        <v>1</v>
      </c>
      <c r="G233" s="4">
        <v>0</v>
      </c>
      <c r="H233" s="10">
        <v>-3.5000000000000003E-2</v>
      </c>
      <c r="I233">
        <v>-1.8805870728458698E-2</v>
      </c>
      <c r="J233" s="24">
        <v>80806</v>
      </c>
      <c r="K233" s="27">
        <v>38937</v>
      </c>
      <c r="L233" s="17">
        <v>38961</v>
      </c>
      <c r="M233" s="29">
        <v>38932</v>
      </c>
      <c r="N233" s="17">
        <v>38961</v>
      </c>
      <c r="O233" s="13">
        <v>0</v>
      </c>
      <c r="P233" s="26">
        <v>5.25</v>
      </c>
      <c r="Q233" s="20">
        <v>3.3</v>
      </c>
      <c r="R233" s="20">
        <v>3</v>
      </c>
      <c r="S233" s="20">
        <v>1.6</v>
      </c>
      <c r="T233" s="20">
        <v>2.1</v>
      </c>
      <c r="U233" s="20">
        <v>2.6</v>
      </c>
      <c r="V233" s="19">
        <v>-0.5</v>
      </c>
      <c r="W233" s="19">
        <v>0.7</v>
      </c>
      <c r="X233" s="19">
        <v>0</v>
      </c>
      <c r="Y233" s="19">
        <v>-0.2</v>
      </c>
      <c r="Z233" s="20">
        <v>3</v>
      </c>
      <c r="AA233" s="20">
        <v>2.2000000000000002</v>
      </c>
      <c r="AB233" s="20">
        <v>2.1</v>
      </c>
      <c r="AC233" s="20">
        <v>2.2000000000000002</v>
      </c>
      <c r="AD233" s="20">
        <v>2.2999999999999998</v>
      </c>
      <c r="AE233" s="19">
        <v>1</v>
      </c>
      <c r="AF233" s="19">
        <v>-0.5</v>
      </c>
      <c r="AG233" s="19">
        <v>-0.6</v>
      </c>
      <c r="AH233" s="19">
        <v>-0.3</v>
      </c>
      <c r="AI233" s="15">
        <v>4.7</v>
      </c>
      <c r="AJ233" s="15">
        <v>4.7</v>
      </c>
      <c r="AK233" s="15">
        <v>4.8</v>
      </c>
      <c r="AL233" s="15">
        <v>4.9000000000000004</v>
      </c>
      <c r="AM233" s="15">
        <v>5</v>
      </c>
      <c r="AN233" s="19">
        <v>0</v>
      </c>
      <c r="AO233" s="19">
        <v>-0.1</v>
      </c>
      <c r="AP233" s="19">
        <v>-0.1</v>
      </c>
      <c r="AQ233" s="19">
        <v>-0.1</v>
      </c>
    </row>
    <row r="234" spans="2:43">
      <c r="B234">
        <f t="shared" si="375"/>
        <v>2006</v>
      </c>
      <c r="C234">
        <f t="shared" si="376"/>
        <v>9</v>
      </c>
      <c r="D234" s="7">
        <v>38980</v>
      </c>
      <c r="E234" s="6">
        <v>38973</v>
      </c>
      <c r="F234" s="4">
        <v>1</v>
      </c>
      <c r="G234" s="4">
        <v>0</v>
      </c>
      <c r="H234" s="10">
        <v>0</v>
      </c>
      <c r="I234">
        <v>6.41449083861416E-3</v>
      </c>
      <c r="J234" s="24">
        <v>92006</v>
      </c>
      <c r="K234" s="27">
        <v>38980</v>
      </c>
      <c r="L234" s="17">
        <v>38961</v>
      </c>
      <c r="M234" s="29">
        <v>38973</v>
      </c>
      <c r="N234" s="17">
        <v>38961</v>
      </c>
      <c r="O234" s="13">
        <v>0</v>
      </c>
      <c r="P234" s="26">
        <v>5.25</v>
      </c>
      <c r="Q234" s="20">
        <v>3.4</v>
      </c>
      <c r="R234" s="20">
        <v>2.2000000000000002</v>
      </c>
      <c r="S234" s="20">
        <v>1.9</v>
      </c>
      <c r="T234" s="20">
        <v>2.6</v>
      </c>
      <c r="U234" s="20">
        <v>2.8</v>
      </c>
      <c r="V234" s="19">
        <v>0.1</v>
      </c>
      <c r="W234" s="19">
        <v>-0.8</v>
      </c>
      <c r="X234" s="19">
        <v>0.3</v>
      </c>
      <c r="Y234" s="19">
        <v>0.5</v>
      </c>
      <c r="Z234" s="20">
        <v>2.8</v>
      </c>
      <c r="AA234" s="20">
        <v>1.8</v>
      </c>
      <c r="AB234" s="20">
        <v>1.7</v>
      </c>
      <c r="AC234" s="20">
        <v>1.9</v>
      </c>
      <c r="AD234" s="20">
        <v>2</v>
      </c>
      <c r="AE234" s="19">
        <v>-0.2</v>
      </c>
      <c r="AF234" s="19">
        <v>-0.4</v>
      </c>
      <c r="AG234" s="19">
        <v>-0.4</v>
      </c>
      <c r="AH234" s="19">
        <v>-0.3</v>
      </c>
      <c r="AI234" s="15">
        <v>4.7</v>
      </c>
      <c r="AJ234" s="15">
        <v>4.7</v>
      </c>
      <c r="AK234" s="15">
        <v>4.8</v>
      </c>
      <c r="AL234" s="15">
        <v>4.9000000000000004</v>
      </c>
      <c r="AM234" s="15">
        <v>5</v>
      </c>
      <c r="AN234" s="19">
        <v>0</v>
      </c>
      <c r="AO234" s="19">
        <v>0</v>
      </c>
      <c r="AP234" s="19">
        <v>0</v>
      </c>
      <c r="AQ234" s="19">
        <v>0</v>
      </c>
    </row>
    <row r="235" spans="2:43">
      <c r="B235">
        <f t="shared" si="375"/>
        <v>2006</v>
      </c>
      <c r="C235">
        <f t="shared" si="376"/>
        <v>10</v>
      </c>
      <c r="D235" s="7">
        <v>39015</v>
      </c>
      <c r="E235" s="6">
        <v>39008</v>
      </c>
      <c r="F235" s="4">
        <v>1</v>
      </c>
      <c r="G235" s="4">
        <v>0</v>
      </c>
      <c r="H235" s="10">
        <v>-5.0000000000000001E-3</v>
      </c>
      <c r="I235">
        <v>-4.2992113733170204E-3</v>
      </c>
      <c r="J235" s="24">
        <v>102506</v>
      </c>
      <c r="K235" s="27">
        <v>39015</v>
      </c>
      <c r="L235" s="17">
        <v>39052</v>
      </c>
      <c r="M235" s="29">
        <v>39008</v>
      </c>
      <c r="N235" s="17">
        <v>39052</v>
      </c>
      <c r="O235" s="13">
        <v>0</v>
      </c>
      <c r="P235" s="26">
        <v>5.25</v>
      </c>
      <c r="Q235" s="20">
        <v>1.8</v>
      </c>
      <c r="R235" s="20">
        <v>1.6</v>
      </c>
      <c r="S235" s="20">
        <v>3</v>
      </c>
      <c r="T235" s="20">
        <v>2.7</v>
      </c>
      <c r="U235" s="20">
        <v>2.6</v>
      </c>
      <c r="V235" s="19">
        <v>-0.4</v>
      </c>
      <c r="W235" s="19">
        <v>-0.3</v>
      </c>
      <c r="X235" s="19">
        <v>0.4</v>
      </c>
      <c r="Y235" s="19">
        <v>-0.1</v>
      </c>
      <c r="Z235" s="20">
        <v>1</v>
      </c>
      <c r="AA235" s="20">
        <v>2.2999999999999998</v>
      </c>
      <c r="AB235" s="20">
        <v>2.1</v>
      </c>
      <c r="AC235" s="20">
        <v>2.1</v>
      </c>
      <c r="AD235" s="20">
        <v>2.2000000000000002</v>
      </c>
      <c r="AE235" s="19">
        <v>-0.8</v>
      </c>
      <c r="AF235" s="19">
        <v>0.6</v>
      </c>
      <c r="AG235" s="19">
        <v>0.2</v>
      </c>
      <c r="AH235" s="19">
        <v>0.1</v>
      </c>
      <c r="AI235" s="15">
        <v>4.7</v>
      </c>
      <c r="AJ235" s="15">
        <v>4.7</v>
      </c>
      <c r="AK235" s="15">
        <v>4.8</v>
      </c>
      <c r="AL235" s="15">
        <v>5</v>
      </c>
      <c r="AM235" s="15">
        <v>5</v>
      </c>
      <c r="AN235" s="19">
        <v>0</v>
      </c>
      <c r="AO235" s="19">
        <v>-0.1</v>
      </c>
      <c r="AP235" s="19">
        <v>-0.1</v>
      </c>
      <c r="AQ235" s="19">
        <v>0</v>
      </c>
    </row>
    <row r="236" spans="2:43">
      <c r="B236">
        <f t="shared" si="375"/>
        <v>2006</v>
      </c>
      <c r="C236">
        <f t="shared" si="376"/>
        <v>12</v>
      </c>
      <c r="D236" s="7">
        <v>39063</v>
      </c>
      <c r="E236" s="6">
        <v>39057</v>
      </c>
      <c r="F236" s="4">
        <v>1</v>
      </c>
      <c r="G236" s="4">
        <v>0</v>
      </c>
      <c r="H236" s="10">
        <v>-5.0000000000000001E-3</v>
      </c>
      <c r="I236">
        <v>3.0710277722606798E-2</v>
      </c>
      <c r="J236" s="24">
        <v>121206</v>
      </c>
      <c r="K236" s="27">
        <v>39063</v>
      </c>
      <c r="L236" s="17">
        <v>39052</v>
      </c>
      <c r="M236" s="29">
        <v>39057</v>
      </c>
      <c r="N236" s="17">
        <v>39052</v>
      </c>
      <c r="O236" s="13">
        <v>0</v>
      </c>
      <c r="P236" s="26">
        <v>5.25</v>
      </c>
      <c r="Q236" s="20">
        <v>1.8</v>
      </c>
      <c r="R236" s="20">
        <v>1.5</v>
      </c>
      <c r="S236" s="20">
        <v>3.5</v>
      </c>
      <c r="T236" s="20">
        <v>2.4</v>
      </c>
      <c r="U236" s="20">
        <v>2.4</v>
      </c>
      <c r="V236" s="19">
        <v>0</v>
      </c>
      <c r="W236" s="19">
        <v>-0.1</v>
      </c>
      <c r="X236" s="19">
        <v>0.5</v>
      </c>
      <c r="Y236" s="19">
        <v>-0.3</v>
      </c>
      <c r="Z236" s="20">
        <v>2</v>
      </c>
      <c r="AA236" s="20">
        <v>1.3</v>
      </c>
      <c r="AB236" s="20">
        <v>1.7</v>
      </c>
      <c r="AC236" s="20">
        <v>2.2000000000000002</v>
      </c>
      <c r="AD236" s="20">
        <v>2.4</v>
      </c>
      <c r="AE236" s="19">
        <v>1</v>
      </c>
      <c r="AF236" s="19">
        <v>-1</v>
      </c>
      <c r="AG236" s="19">
        <v>-0.4</v>
      </c>
      <c r="AH236" s="19">
        <v>0.1</v>
      </c>
      <c r="AI236" s="15">
        <v>4.7</v>
      </c>
      <c r="AJ236" s="15">
        <v>4.5</v>
      </c>
      <c r="AK236" s="15">
        <v>4.5999999999999996</v>
      </c>
      <c r="AL236" s="15">
        <v>4.8</v>
      </c>
      <c r="AM236" s="15">
        <v>4.9000000000000004</v>
      </c>
      <c r="AN236" s="19">
        <v>0</v>
      </c>
      <c r="AO236" s="19">
        <v>-0.2</v>
      </c>
      <c r="AP236" s="19">
        <v>-0.2</v>
      </c>
      <c r="AQ236" s="19">
        <v>-0.2</v>
      </c>
    </row>
    <row r="237" spans="2:43">
      <c r="B237">
        <f t="shared" si="375"/>
        <v>2007</v>
      </c>
      <c r="C237">
        <f t="shared" si="376"/>
        <v>1</v>
      </c>
      <c r="D237" s="7">
        <v>39113</v>
      </c>
      <c r="E237" s="6">
        <v>39106</v>
      </c>
      <c r="F237" s="4">
        <v>1</v>
      </c>
      <c r="G237" s="4">
        <v>0</v>
      </c>
      <c r="H237" s="10">
        <v>-5.0000000000000001E-3</v>
      </c>
      <c r="I237">
        <v>1.4734203052528001E-2</v>
      </c>
      <c r="J237" s="24">
        <v>13107</v>
      </c>
      <c r="K237" s="27">
        <v>39113</v>
      </c>
      <c r="L237" s="17">
        <v>39142</v>
      </c>
      <c r="M237" s="29">
        <v>39106</v>
      </c>
      <c r="N237" s="17">
        <v>39142</v>
      </c>
      <c r="O237" s="13">
        <v>0</v>
      </c>
      <c r="P237" s="26">
        <v>5.25</v>
      </c>
      <c r="Q237" s="20">
        <v>1.9</v>
      </c>
      <c r="R237" s="20">
        <v>3.7</v>
      </c>
      <c r="S237" s="20">
        <v>2.4</v>
      </c>
      <c r="T237" s="20">
        <v>2.2999999999999998</v>
      </c>
      <c r="U237" s="20">
        <v>2.2000000000000002</v>
      </c>
      <c r="V237" s="19">
        <v>0.4</v>
      </c>
      <c r="W237" s="19">
        <v>0.2</v>
      </c>
      <c r="X237" s="19">
        <v>0</v>
      </c>
      <c r="Y237" s="19">
        <v>-0.1</v>
      </c>
      <c r="Z237" s="20">
        <v>2.6</v>
      </c>
      <c r="AA237" s="20">
        <v>2</v>
      </c>
      <c r="AB237" s="20">
        <v>2.2999999999999998</v>
      </c>
      <c r="AC237" s="20">
        <v>2.4</v>
      </c>
      <c r="AD237" s="20">
        <v>2.5</v>
      </c>
      <c r="AE237" s="19">
        <v>1.3</v>
      </c>
      <c r="AF237" s="19">
        <v>0.3</v>
      </c>
      <c r="AG237" s="19">
        <v>0.1</v>
      </c>
      <c r="AH237" s="19">
        <v>0</v>
      </c>
      <c r="AI237" s="15">
        <v>4.5</v>
      </c>
      <c r="AJ237" s="15">
        <v>4.5999999999999996</v>
      </c>
      <c r="AK237" s="15">
        <v>4.7</v>
      </c>
      <c r="AL237" s="15">
        <v>4.8</v>
      </c>
      <c r="AM237" s="15">
        <v>4.8</v>
      </c>
      <c r="AN237" s="19">
        <v>0</v>
      </c>
      <c r="AO237" s="19">
        <v>0</v>
      </c>
      <c r="AP237" s="19">
        <v>-0.1</v>
      </c>
      <c r="AQ237" s="19">
        <v>-0.1</v>
      </c>
    </row>
    <row r="238" spans="2:43">
      <c r="B238">
        <f t="shared" si="375"/>
        <v>2007</v>
      </c>
      <c r="C238">
        <f t="shared" si="376"/>
        <v>3</v>
      </c>
      <c r="D238" s="7">
        <v>39162</v>
      </c>
      <c r="E238" s="6">
        <v>39155</v>
      </c>
      <c r="F238" s="4">
        <v>1</v>
      </c>
      <c r="G238" s="4">
        <v>0</v>
      </c>
      <c r="H238" s="10">
        <v>-1.5010000000000001E-2</v>
      </c>
      <c r="I238">
        <v>3.3971759262736699E-3</v>
      </c>
      <c r="J238" s="24">
        <v>32107</v>
      </c>
      <c r="K238" s="27">
        <v>39162</v>
      </c>
      <c r="L238" s="17">
        <v>39142</v>
      </c>
      <c r="M238" s="29">
        <v>39155</v>
      </c>
      <c r="N238" s="17">
        <v>39142</v>
      </c>
      <c r="O238" s="13">
        <v>0</v>
      </c>
      <c r="P238" s="26">
        <v>5.25</v>
      </c>
      <c r="Q238" s="20">
        <v>1.6</v>
      </c>
      <c r="R238" s="20">
        <v>3.9</v>
      </c>
      <c r="S238" s="20">
        <v>2.7</v>
      </c>
      <c r="T238" s="20">
        <v>2</v>
      </c>
      <c r="U238" s="20">
        <v>2.1</v>
      </c>
      <c r="V238" s="19">
        <v>-0.3</v>
      </c>
      <c r="W238" s="19">
        <v>0.2</v>
      </c>
      <c r="X238" s="19">
        <v>0.3</v>
      </c>
      <c r="Y238" s="19">
        <v>-0.3</v>
      </c>
      <c r="Z238" s="20">
        <v>2.2000000000000002</v>
      </c>
      <c r="AA238" s="20">
        <v>1.5</v>
      </c>
      <c r="AB238" s="20">
        <v>2.2999999999999998</v>
      </c>
      <c r="AC238" s="20">
        <v>2.2999999999999998</v>
      </c>
      <c r="AD238" s="20">
        <v>2.2999999999999998</v>
      </c>
      <c r="AE238" s="19">
        <v>-0.4</v>
      </c>
      <c r="AF238" s="19">
        <v>-0.5</v>
      </c>
      <c r="AG238" s="19">
        <v>0</v>
      </c>
      <c r="AH238" s="19">
        <v>-0.1</v>
      </c>
      <c r="AI238" s="15">
        <v>4.5</v>
      </c>
      <c r="AJ238" s="15">
        <v>4.5999999999999996</v>
      </c>
      <c r="AK238" s="15">
        <v>4.7</v>
      </c>
      <c r="AL238" s="15">
        <v>4.8</v>
      </c>
      <c r="AM238" s="15">
        <v>4.9000000000000004</v>
      </c>
      <c r="AN238" s="19">
        <v>0</v>
      </c>
      <c r="AO238" s="19">
        <v>0</v>
      </c>
      <c r="AP238" s="19">
        <v>0</v>
      </c>
      <c r="AQ238" s="19">
        <v>0</v>
      </c>
    </row>
    <row r="239" spans="2:43">
      <c r="B239">
        <f t="shared" si="375"/>
        <v>2007</v>
      </c>
      <c r="C239">
        <f t="shared" si="376"/>
        <v>5</v>
      </c>
      <c r="D239" s="7">
        <v>39211</v>
      </c>
      <c r="E239" s="6">
        <v>39204</v>
      </c>
      <c r="F239" s="4">
        <v>1</v>
      </c>
      <c r="G239" s="4">
        <v>0</v>
      </c>
      <c r="H239" s="10">
        <v>5.0000000000000001E-3</v>
      </c>
      <c r="I239">
        <v>1.1751792324037599E-2</v>
      </c>
      <c r="J239" s="24">
        <v>50907</v>
      </c>
      <c r="K239" s="27">
        <v>39211</v>
      </c>
      <c r="L239" s="17">
        <v>39234</v>
      </c>
      <c r="M239" s="29">
        <v>39204</v>
      </c>
      <c r="N239" s="17">
        <v>39234</v>
      </c>
      <c r="O239" s="13">
        <v>0</v>
      </c>
      <c r="P239" s="26">
        <v>5.25</v>
      </c>
      <c r="Q239" s="20">
        <v>3.9</v>
      </c>
      <c r="R239" s="20">
        <v>2.8</v>
      </c>
      <c r="S239" s="20">
        <v>1.7</v>
      </c>
      <c r="T239" s="20">
        <v>2.1</v>
      </c>
      <c r="U239" s="20">
        <v>2.2999999999999998</v>
      </c>
      <c r="V239" s="19">
        <v>0</v>
      </c>
      <c r="W239" s="19">
        <v>0.1</v>
      </c>
      <c r="X239" s="19">
        <v>-0.3</v>
      </c>
      <c r="Y239" s="19">
        <v>0</v>
      </c>
      <c r="Z239" s="20">
        <v>1.3</v>
      </c>
      <c r="AA239" s="20">
        <v>2.6</v>
      </c>
      <c r="AB239" s="20">
        <v>2</v>
      </c>
      <c r="AC239" s="20">
        <v>2.1</v>
      </c>
      <c r="AD239" s="20">
        <v>2.4</v>
      </c>
      <c r="AE239" s="19">
        <v>-0.2</v>
      </c>
      <c r="AF239" s="19">
        <v>0.3</v>
      </c>
      <c r="AG239" s="19">
        <v>-0.3</v>
      </c>
      <c r="AH239" s="19">
        <v>-0.2</v>
      </c>
      <c r="AI239" s="15">
        <v>4.5</v>
      </c>
      <c r="AJ239" s="15">
        <v>4.5999999999999996</v>
      </c>
      <c r="AK239" s="15">
        <v>4.7</v>
      </c>
      <c r="AL239" s="15">
        <v>4.8</v>
      </c>
      <c r="AM239" s="15">
        <v>4.8</v>
      </c>
      <c r="AN239" s="19">
        <v>-0.1</v>
      </c>
      <c r="AO239" s="19">
        <v>-0.1</v>
      </c>
      <c r="AP239" s="19">
        <v>-0.1</v>
      </c>
      <c r="AQ239" s="19">
        <v>-0.1</v>
      </c>
    </row>
    <row r="240" spans="2:43">
      <c r="B240">
        <f t="shared" si="375"/>
        <v>2007</v>
      </c>
      <c r="C240">
        <f t="shared" si="376"/>
        <v>6</v>
      </c>
      <c r="D240" s="7">
        <v>39261</v>
      </c>
      <c r="E240" s="6">
        <v>39253</v>
      </c>
      <c r="F240" s="4">
        <v>1</v>
      </c>
      <c r="G240" s="4">
        <v>0</v>
      </c>
      <c r="H240" s="10">
        <v>0</v>
      </c>
      <c r="I240">
        <v>-1.91147725457431E-3</v>
      </c>
      <c r="J240" s="24">
        <v>62807</v>
      </c>
      <c r="K240" s="27">
        <v>39261</v>
      </c>
      <c r="L240" s="17">
        <v>39234</v>
      </c>
      <c r="M240" s="29">
        <v>39253</v>
      </c>
      <c r="N240" s="17">
        <v>39234</v>
      </c>
      <c r="O240" s="13">
        <v>0</v>
      </c>
      <c r="P240" s="26">
        <v>5.25</v>
      </c>
      <c r="Q240" s="20">
        <v>4.0999999999999996</v>
      </c>
      <c r="R240" s="20">
        <v>2.9</v>
      </c>
      <c r="S240" s="20">
        <v>1.3</v>
      </c>
      <c r="T240" s="20">
        <v>1.9</v>
      </c>
      <c r="U240" s="20">
        <v>2.2000000000000002</v>
      </c>
      <c r="V240" s="19">
        <v>0.2</v>
      </c>
      <c r="W240" s="19">
        <v>0.1</v>
      </c>
      <c r="X240" s="19">
        <v>-0.4</v>
      </c>
      <c r="Y240" s="19">
        <v>-0.2</v>
      </c>
      <c r="Z240" s="20">
        <v>1</v>
      </c>
      <c r="AA240" s="20">
        <v>3</v>
      </c>
      <c r="AB240" s="20">
        <v>2.5</v>
      </c>
      <c r="AC240" s="20">
        <v>2.2000000000000002</v>
      </c>
      <c r="AD240" s="20">
        <v>2.5</v>
      </c>
      <c r="AE240" s="19">
        <v>-0.3</v>
      </c>
      <c r="AF240" s="19">
        <v>0.4</v>
      </c>
      <c r="AG240" s="19">
        <v>0.5</v>
      </c>
      <c r="AH240" s="19">
        <v>0.1</v>
      </c>
      <c r="AI240" s="15">
        <v>4.5</v>
      </c>
      <c r="AJ240" s="15">
        <v>4.5</v>
      </c>
      <c r="AK240" s="15">
        <v>4.5999999999999996</v>
      </c>
      <c r="AL240" s="15">
        <v>4.7</v>
      </c>
      <c r="AM240" s="15">
        <v>4.7</v>
      </c>
      <c r="AN240" s="19">
        <v>0</v>
      </c>
      <c r="AO240" s="19">
        <v>-0.1</v>
      </c>
      <c r="AP240" s="19">
        <v>-0.1</v>
      </c>
      <c r="AQ240" s="19">
        <v>-0.1</v>
      </c>
    </row>
    <row r="241" spans="2:43">
      <c r="B241">
        <f t="shared" si="375"/>
        <v>2007</v>
      </c>
      <c r="C241">
        <f t="shared" si="376"/>
        <v>8</v>
      </c>
      <c r="D241" s="7">
        <v>39301</v>
      </c>
      <c r="E241" s="6">
        <v>39296</v>
      </c>
      <c r="F241" s="4">
        <v>1</v>
      </c>
      <c r="G241" s="4">
        <v>0</v>
      </c>
      <c r="H241" s="10">
        <v>0</v>
      </c>
      <c r="I241">
        <v>-1.5775736396594801E-2</v>
      </c>
      <c r="J241" s="24">
        <v>80707</v>
      </c>
      <c r="K241" s="27">
        <v>39301</v>
      </c>
      <c r="L241" s="17">
        <v>39326</v>
      </c>
      <c r="M241" s="29">
        <v>39296</v>
      </c>
      <c r="N241" s="17">
        <v>39326</v>
      </c>
      <c r="O241" s="13">
        <v>0</v>
      </c>
      <c r="P241" s="26">
        <v>5.25</v>
      </c>
      <c r="Q241" s="20">
        <v>2.7</v>
      </c>
      <c r="R241" s="20">
        <v>1.4</v>
      </c>
      <c r="S241" s="20">
        <v>2.1</v>
      </c>
      <c r="T241" s="20">
        <v>2.2000000000000002</v>
      </c>
      <c r="U241" s="20">
        <v>2.2999999999999998</v>
      </c>
      <c r="V241" s="19">
        <v>-0.2</v>
      </c>
      <c r="W241" s="19">
        <v>0.1</v>
      </c>
      <c r="X241" s="19">
        <v>0.2</v>
      </c>
      <c r="Y241" s="19">
        <v>0</v>
      </c>
      <c r="Z241" s="20">
        <v>3.4</v>
      </c>
      <c r="AA241" s="20">
        <v>2.2000000000000002</v>
      </c>
      <c r="AB241" s="20">
        <v>1.6</v>
      </c>
      <c r="AC241" s="20">
        <v>1.8</v>
      </c>
      <c r="AD241" s="20">
        <v>1.9</v>
      </c>
      <c r="AE241" s="19">
        <v>0.4</v>
      </c>
      <c r="AF241" s="19">
        <v>-0.3</v>
      </c>
      <c r="AG241" s="19">
        <v>-0.6</v>
      </c>
      <c r="AH241" s="19">
        <v>-0.7</v>
      </c>
      <c r="AI241" s="15">
        <v>4.5</v>
      </c>
      <c r="AJ241" s="15">
        <v>4.5999999999999996</v>
      </c>
      <c r="AK241" s="15">
        <v>4.7</v>
      </c>
      <c r="AL241" s="15">
        <v>4.7</v>
      </c>
      <c r="AM241" s="15">
        <v>4.8</v>
      </c>
      <c r="AN241" s="19">
        <v>0</v>
      </c>
      <c r="AO241" s="19">
        <v>0</v>
      </c>
      <c r="AP241" s="19">
        <v>0</v>
      </c>
      <c r="AQ241" s="19">
        <v>0</v>
      </c>
    </row>
    <row r="242" spans="2:43">
      <c r="B242">
        <f t="shared" si="375"/>
        <v>2007</v>
      </c>
      <c r="C242">
        <f t="shared" si="376"/>
        <v>8</v>
      </c>
      <c r="D242" s="7">
        <v>39304</v>
      </c>
      <c r="E242" s="67">
        <f>E241</f>
        <v>39296</v>
      </c>
      <c r="F242" s="4">
        <v>1</v>
      </c>
      <c r="G242" s="4">
        <v>1</v>
      </c>
      <c r="H242" s="10">
        <v>1.4999999999999999E-2</v>
      </c>
      <c r="I242">
        <v>-1.5775736396594801E-2</v>
      </c>
      <c r="J242" s="12" t="e">
        <f>NA()</f>
        <v>#N/A</v>
      </c>
      <c r="K242" s="17" t="e">
        <v>#N/A</v>
      </c>
      <c r="L242" s="17" t="e">
        <v>#N/A</v>
      </c>
      <c r="M242" s="30" t="e">
        <v>#N/A</v>
      </c>
      <c r="N242" s="17" t="e">
        <v>#N/A</v>
      </c>
      <c r="O242" s="14" t="e">
        <v>#N/A</v>
      </c>
      <c r="P242" s="18" t="e">
        <v>#N/A</v>
      </c>
      <c r="Q242" s="68">
        <f>Q241</f>
        <v>2.7</v>
      </c>
      <c r="R242" s="68">
        <f t="shared" ref="R242:R243" si="377">R241</f>
        <v>1.4</v>
      </c>
      <c r="S242" s="68">
        <f t="shared" ref="S242:S243" si="378">S241</f>
        <v>2.1</v>
      </c>
      <c r="T242" s="68">
        <f t="shared" ref="T242:T243" si="379">T241</f>
        <v>2.2000000000000002</v>
      </c>
      <c r="U242" s="68">
        <f t="shared" ref="U242:U243" si="380">U241</f>
        <v>2.2999999999999998</v>
      </c>
      <c r="V242" s="69">
        <v>0</v>
      </c>
      <c r="W242" s="69">
        <v>0</v>
      </c>
      <c r="X242" s="69">
        <v>0</v>
      </c>
      <c r="Y242" s="69">
        <v>0</v>
      </c>
      <c r="Z242" s="68">
        <f>Z241</f>
        <v>3.4</v>
      </c>
      <c r="AA242" s="68">
        <f t="shared" ref="AA242:AA243" si="381">AA241</f>
        <v>2.2000000000000002</v>
      </c>
      <c r="AB242" s="68">
        <f t="shared" ref="AB242:AB243" si="382">AB241</f>
        <v>1.6</v>
      </c>
      <c r="AC242" s="68">
        <f t="shared" ref="AC242:AC243" si="383">AC241</f>
        <v>1.8</v>
      </c>
      <c r="AD242" s="68">
        <f t="shared" ref="AD242:AD243" si="384">AD241</f>
        <v>1.9</v>
      </c>
      <c r="AE242" s="69">
        <v>0</v>
      </c>
      <c r="AF242" s="69">
        <v>0</v>
      </c>
      <c r="AG242" s="69">
        <v>0</v>
      </c>
      <c r="AH242" s="69">
        <v>0</v>
      </c>
      <c r="AI242" s="68">
        <f>AI241</f>
        <v>4.5</v>
      </c>
      <c r="AJ242" s="68">
        <f t="shared" ref="AJ242:AJ243" si="385">AJ241</f>
        <v>4.5999999999999996</v>
      </c>
      <c r="AK242" s="68">
        <f t="shared" ref="AK242:AK243" si="386">AK241</f>
        <v>4.7</v>
      </c>
      <c r="AL242" s="68">
        <f t="shared" ref="AL242:AL243" si="387">AL241</f>
        <v>4.7</v>
      </c>
      <c r="AM242" s="68">
        <f t="shared" ref="AM242:AM243" si="388">AM241</f>
        <v>4.8</v>
      </c>
      <c r="AN242" s="69">
        <v>0</v>
      </c>
      <c r="AO242" s="69">
        <v>0</v>
      </c>
      <c r="AP242" s="69">
        <v>0</v>
      </c>
      <c r="AQ242" s="69">
        <v>0</v>
      </c>
    </row>
    <row r="243" spans="2:43">
      <c r="B243">
        <f t="shared" si="375"/>
        <v>2007</v>
      </c>
      <c r="C243">
        <f t="shared" si="376"/>
        <v>8</v>
      </c>
      <c r="D243" s="7">
        <v>39311</v>
      </c>
      <c r="E243" s="67">
        <f>E242</f>
        <v>39296</v>
      </c>
      <c r="F243" s="4">
        <v>1</v>
      </c>
      <c r="G243" s="4">
        <v>1</v>
      </c>
      <c r="H243" s="10">
        <v>-0.04</v>
      </c>
      <c r="I243">
        <v>-1.5775736396594801E-2</v>
      </c>
      <c r="J243" s="12" t="e">
        <f>NA()</f>
        <v>#N/A</v>
      </c>
      <c r="K243" s="17" t="e">
        <v>#N/A</v>
      </c>
      <c r="L243" s="17" t="e">
        <v>#N/A</v>
      </c>
      <c r="M243" s="30" t="e">
        <v>#N/A</v>
      </c>
      <c r="N243" s="17" t="e">
        <v>#N/A</v>
      </c>
      <c r="O243" s="14" t="e">
        <v>#N/A</v>
      </c>
      <c r="P243" s="18" t="e">
        <v>#N/A</v>
      </c>
      <c r="Q243" s="68">
        <f>Q242</f>
        <v>2.7</v>
      </c>
      <c r="R243" s="68">
        <f t="shared" si="377"/>
        <v>1.4</v>
      </c>
      <c r="S243" s="68">
        <f t="shared" si="378"/>
        <v>2.1</v>
      </c>
      <c r="T243" s="68">
        <f t="shared" si="379"/>
        <v>2.2000000000000002</v>
      </c>
      <c r="U243" s="68">
        <f t="shared" si="380"/>
        <v>2.2999999999999998</v>
      </c>
      <c r="V243" s="69">
        <v>0</v>
      </c>
      <c r="W243" s="69">
        <v>0</v>
      </c>
      <c r="X243" s="69">
        <v>0</v>
      </c>
      <c r="Y243" s="69">
        <v>0</v>
      </c>
      <c r="Z243" s="68">
        <f>Z242</f>
        <v>3.4</v>
      </c>
      <c r="AA243" s="68">
        <f t="shared" si="381"/>
        <v>2.2000000000000002</v>
      </c>
      <c r="AB243" s="68">
        <f t="shared" si="382"/>
        <v>1.6</v>
      </c>
      <c r="AC243" s="68">
        <f t="shared" si="383"/>
        <v>1.8</v>
      </c>
      <c r="AD243" s="68">
        <f t="shared" si="384"/>
        <v>1.9</v>
      </c>
      <c r="AE243" s="69">
        <v>0</v>
      </c>
      <c r="AF243" s="69">
        <v>0</v>
      </c>
      <c r="AG243" s="69">
        <v>0</v>
      </c>
      <c r="AH243" s="69">
        <v>0</v>
      </c>
      <c r="AI243" s="68">
        <f>AI242</f>
        <v>4.5</v>
      </c>
      <c r="AJ243" s="68">
        <f t="shared" si="385"/>
        <v>4.5999999999999996</v>
      </c>
      <c r="AK243" s="68">
        <f t="shared" si="386"/>
        <v>4.7</v>
      </c>
      <c r="AL243" s="68">
        <f t="shared" si="387"/>
        <v>4.7</v>
      </c>
      <c r="AM243" s="68">
        <f t="shared" si="388"/>
        <v>4.8</v>
      </c>
      <c r="AN243" s="69">
        <v>0</v>
      </c>
      <c r="AO243" s="69">
        <v>0</v>
      </c>
      <c r="AP243" s="69">
        <v>0</v>
      </c>
      <c r="AQ243" s="69">
        <v>0</v>
      </c>
    </row>
    <row r="244" spans="2:43">
      <c r="B244">
        <f t="shared" si="375"/>
        <v>2007</v>
      </c>
      <c r="C244">
        <f t="shared" si="376"/>
        <v>9</v>
      </c>
      <c r="D244" s="7">
        <v>39343</v>
      </c>
      <c r="E244" s="6">
        <v>39337</v>
      </c>
      <c r="F244" s="4">
        <v>1</v>
      </c>
      <c r="G244" s="4">
        <v>0</v>
      </c>
      <c r="H244" s="10">
        <v>-0.17</v>
      </c>
      <c r="I244">
        <v>-0.16543196562332099</v>
      </c>
      <c r="J244" s="24">
        <v>91807</v>
      </c>
      <c r="K244" s="27">
        <v>39343</v>
      </c>
      <c r="L244" s="17">
        <v>39326</v>
      </c>
      <c r="M244" s="29">
        <v>39337</v>
      </c>
      <c r="N244" s="17">
        <v>39326</v>
      </c>
      <c r="O244" s="13">
        <v>-0.5</v>
      </c>
      <c r="P244" s="26">
        <v>5.25</v>
      </c>
      <c r="Q244" s="20">
        <v>2.7</v>
      </c>
      <c r="R244" s="20">
        <v>0.8</v>
      </c>
      <c r="S244" s="20">
        <v>2.2999999999999998</v>
      </c>
      <c r="T244" s="20">
        <v>2.1</v>
      </c>
      <c r="U244" s="20">
        <v>2.1</v>
      </c>
      <c r="V244" s="19">
        <v>0</v>
      </c>
      <c r="W244" s="19">
        <v>-0.6</v>
      </c>
      <c r="X244" s="19">
        <v>0.2</v>
      </c>
      <c r="Y244" s="19">
        <v>-0.1</v>
      </c>
      <c r="Z244" s="20">
        <v>3.7</v>
      </c>
      <c r="AA244" s="20">
        <v>2.6</v>
      </c>
      <c r="AB244" s="20">
        <v>1</v>
      </c>
      <c r="AC244" s="20">
        <v>1.3</v>
      </c>
      <c r="AD244" s="20">
        <v>1.7</v>
      </c>
      <c r="AE244" s="19">
        <v>0.3</v>
      </c>
      <c r="AF244" s="19">
        <v>0.4</v>
      </c>
      <c r="AG244" s="19">
        <v>-0.6</v>
      </c>
      <c r="AH244" s="19">
        <v>-0.5</v>
      </c>
      <c r="AI244" s="15">
        <v>4.5</v>
      </c>
      <c r="AJ244" s="15">
        <v>4.5999999999999996</v>
      </c>
      <c r="AK244" s="15">
        <v>4.7</v>
      </c>
      <c r="AL244" s="15">
        <v>4.7</v>
      </c>
      <c r="AM244" s="15">
        <v>4.8</v>
      </c>
      <c r="AN244" s="19">
        <v>0</v>
      </c>
      <c r="AO244" s="19">
        <v>0</v>
      </c>
      <c r="AP244" s="19">
        <v>0</v>
      </c>
      <c r="AQ244" s="19">
        <v>0</v>
      </c>
    </row>
    <row r="245" spans="2:43">
      <c r="B245">
        <f t="shared" si="375"/>
        <v>2007</v>
      </c>
      <c r="C245">
        <f t="shared" si="376"/>
        <v>10</v>
      </c>
      <c r="D245" s="7">
        <v>39386</v>
      </c>
      <c r="E245" s="6">
        <v>39379</v>
      </c>
      <c r="F245" s="4">
        <v>1</v>
      </c>
      <c r="G245" s="4">
        <v>0</v>
      </c>
      <c r="H245" s="10">
        <v>0.03</v>
      </c>
      <c r="I245">
        <v>4.6072474989705001E-2</v>
      </c>
      <c r="J245" s="24">
        <v>103107</v>
      </c>
      <c r="K245" s="27">
        <v>39386</v>
      </c>
      <c r="L245" s="17">
        <v>39417</v>
      </c>
      <c r="M245" s="29">
        <v>39379</v>
      </c>
      <c r="N245" s="17">
        <v>39417</v>
      </c>
      <c r="O245" s="13">
        <v>-0.25</v>
      </c>
      <c r="P245" s="26">
        <v>4.75</v>
      </c>
      <c r="Q245" s="20">
        <v>0.5</v>
      </c>
      <c r="R245" s="20">
        <v>0.8</v>
      </c>
      <c r="S245" s="20">
        <v>2.7</v>
      </c>
      <c r="T245" s="20">
        <v>2.2000000000000002</v>
      </c>
      <c r="U245" s="20">
        <v>2.1</v>
      </c>
      <c r="V245" s="19">
        <v>-0.3</v>
      </c>
      <c r="W245" s="19">
        <v>-1.5</v>
      </c>
      <c r="X245" s="19">
        <v>0.6</v>
      </c>
      <c r="Y245" s="19">
        <v>0.1</v>
      </c>
      <c r="Z245" s="20">
        <v>3.3</v>
      </c>
      <c r="AA245" s="20">
        <v>1.4</v>
      </c>
      <c r="AB245" s="20">
        <v>1.5</v>
      </c>
      <c r="AC245" s="20">
        <v>1.8</v>
      </c>
      <c r="AD245" s="20">
        <v>1.9</v>
      </c>
      <c r="AE245" s="19">
        <v>0.7</v>
      </c>
      <c r="AF245" s="19">
        <v>0.4</v>
      </c>
      <c r="AG245" s="19">
        <v>0.2</v>
      </c>
      <c r="AH245" s="19">
        <v>0.1</v>
      </c>
      <c r="AI245" s="15">
        <v>4.7</v>
      </c>
      <c r="AJ245" s="15">
        <v>4.7</v>
      </c>
      <c r="AK245" s="15">
        <v>4.7</v>
      </c>
      <c r="AL245" s="15">
        <v>4.7</v>
      </c>
      <c r="AM245" s="15">
        <v>4.7</v>
      </c>
      <c r="AN245" s="19">
        <v>0.1</v>
      </c>
      <c r="AO245" s="19">
        <v>0</v>
      </c>
      <c r="AP245" s="19">
        <v>0</v>
      </c>
      <c r="AQ245" s="19">
        <v>-0.1</v>
      </c>
    </row>
    <row r="246" spans="2:43">
      <c r="B246">
        <f t="shared" si="375"/>
        <v>2007</v>
      </c>
      <c r="C246">
        <f t="shared" si="376"/>
        <v>12</v>
      </c>
      <c r="D246" s="7">
        <v>39427</v>
      </c>
      <c r="E246" s="6">
        <v>39421</v>
      </c>
      <c r="F246" s="4">
        <v>1</v>
      </c>
      <c r="G246" s="4">
        <v>0</v>
      </c>
      <c r="H246" s="10">
        <v>0.03</v>
      </c>
      <c r="I246">
        <v>5.5434173161107103E-2</v>
      </c>
      <c r="J246" s="24">
        <v>121107</v>
      </c>
      <c r="K246" s="27">
        <v>39427</v>
      </c>
      <c r="L246" s="17">
        <v>39417</v>
      </c>
      <c r="M246" s="29">
        <v>39421</v>
      </c>
      <c r="N246" s="17">
        <v>39417</v>
      </c>
      <c r="O246" s="13">
        <v>-0.25</v>
      </c>
      <c r="P246" s="26">
        <v>4.5</v>
      </c>
      <c r="Q246" s="20">
        <v>0.9</v>
      </c>
      <c r="R246" s="20">
        <v>1.8</v>
      </c>
      <c r="S246" s="20">
        <v>2.5</v>
      </c>
      <c r="T246" s="20">
        <v>2.2000000000000002</v>
      </c>
      <c r="U246" s="20">
        <v>2</v>
      </c>
      <c r="V246" s="19">
        <v>0.4</v>
      </c>
      <c r="W246" s="19">
        <v>1</v>
      </c>
      <c r="X246" s="19">
        <v>-0.2</v>
      </c>
      <c r="Y246" s="19">
        <v>0</v>
      </c>
      <c r="Z246" s="20">
        <v>5</v>
      </c>
      <c r="AA246" s="20">
        <v>0.1</v>
      </c>
      <c r="AB246" s="20">
        <v>0.7</v>
      </c>
      <c r="AC246" s="20">
        <v>1.4</v>
      </c>
      <c r="AD246" s="20">
        <v>1.5</v>
      </c>
      <c r="AE246" s="19">
        <v>1.7</v>
      </c>
      <c r="AF246" s="19">
        <v>-1.3</v>
      </c>
      <c r="AG246" s="19">
        <v>-0.8</v>
      </c>
      <c r="AH246" s="19">
        <v>-0.4</v>
      </c>
      <c r="AI246" s="15">
        <v>4.7</v>
      </c>
      <c r="AJ246" s="15">
        <v>4.7</v>
      </c>
      <c r="AK246" s="15">
        <v>4.8</v>
      </c>
      <c r="AL246" s="15">
        <v>4.8</v>
      </c>
      <c r="AM246" s="15">
        <v>4.9000000000000004</v>
      </c>
      <c r="AN246" s="19">
        <v>0</v>
      </c>
      <c r="AO246" s="19">
        <v>0</v>
      </c>
      <c r="AP246" s="19">
        <v>0.1</v>
      </c>
      <c r="AQ246" s="19">
        <v>0.1</v>
      </c>
    </row>
    <row r="247" spans="2:43">
      <c r="B247">
        <f t="shared" si="375"/>
        <v>2008</v>
      </c>
      <c r="C247">
        <f t="shared" si="376"/>
        <v>1</v>
      </c>
      <c r="D247" s="7">
        <v>39469</v>
      </c>
      <c r="E247" s="67">
        <f>E246</f>
        <v>39421</v>
      </c>
      <c r="F247" s="4">
        <v>1</v>
      </c>
      <c r="G247" s="4">
        <v>1</v>
      </c>
      <c r="H247" s="10">
        <v>-0.125</v>
      </c>
      <c r="I247">
        <v>-0.20605513847858201</v>
      </c>
      <c r="J247" s="12" t="e">
        <f>NA()</f>
        <v>#N/A</v>
      </c>
      <c r="K247" s="17" t="e">
        <v>#N/A</v>
      </c>
      <c r="L247" s="17" t="e">
        <v>#N/A</v>
      </c>
      <c r="M247" s="30" t="e">
        <v>#N/A</v>
      </c>
      <c r="N247" s="17" t="e">
        <v>#N/A</v>
      </c>
      <c r="O247" s="14" t="e">
        <v>#N/A</v>
      </c>
      <c r="P247" s="18" t="e">
        <v>#N/A</v>
      </c>
      <c r="Q247" s="68">
        <f>R246</f>
        <v>1.8</v>
      </c>
      <c r="R247" s="68">
        <f>S246</f>
        <v>2.5</v>
      </c>
      <c r="S247" s="68">
        <f t="shared" ref="S247" si="389">T246</f>
        <v>2.2000000000000002</v>
      </c>
      <c r="T247" s="68">
        <f>U246</f>
        <v>2</v>
      </c>
      <c r="U247" s="70">
        <v>1.9</v>
      </c>
      <c r="V247" s="69">
        <v>0</v>
      </c>
      <c r="W247" s="69">
        <v>0</v>
      </c>
      <c r="X247" s="69">
        <v>0</v>
      </c>
      <c r="Y247" s="69">
        <v>0</v>
      </c>
      <c r="Z247" s="68">
        <f>AA246</f>
        <v>0.1</v>
      </c>
      <c r="AA247" s="68">
        <f>AB246</f>
        <v>0.7</v>
      </c>
      <c r="AB247" s="68">
        <f t="shared" ref="AB247" si="390">AC246</f>
        <v>1.4</v>
      </c>
      <c r="AC247" s="68">
        <f>AD246</f>
        <v>1.5</v>
      </c>
      <c r="AD247" s="70">
        <v>1.7</v>
      </c>
      <c r="AE247" s="69">
        <v>0</v>
      </c>
      <c r="AF247" s="69">
        <v>0</v>
      </c>
      <c r="AG247" s="69">
        <v>0</v>
      </c>
      <c r="AH247" s="69">
        <v>0</v>
      </c>
      <c r="AI247" s="68">
        <f>AJ246</f>
        <v>4.7</v>
      </c>
      <c r="AJ247" s="68">
        <f>AK246</f>
        <v>4.8</v>
      </c>
      <c r="AK247" s="68">
        <f t="shared" ref="AK247" si="391">AL246</f>
        <v>4.8</v>
      </c>
      <c r="AL247" s="68">
        <f>AM246</f>
        <v>4.9000000000000004</v>
      </c>
      <c r="AM247" s="70">
        <v>4.9000000000000004</v>
      </c>
      <c r="AN247" s="69">
        <v>0</v>
      </c>
      <c r="AO247" s="69">
        <v>0</v>
      </c>
      <c r="AP247" s="69">
        <v>0</v>
      </c>
      <c r="AQ247" s="69">
        <v>0</v>
      </c>
    </row>
    <row r="248" spans="2:43">
      <c r="B248">
        <f t="shared" si="375"/>
        <v>2008</v>
      </c>
      <c r="C248">
        <f t="shared" si="376"/>
        <v>1</v>
      </c>
      <c r="D248" s="7">
        <v>39477</v>
      </c>
      <c r="E248" s="6">
        <v>39470</v>
      </c>
      <c r="F248" s="4">
        <v>1</v>
      </c>
      <c r="G248" s="4">
        <v>0</v>
      </c>
      <c r="H248" s="10">
        <v>-0.13</v>
      </c>
      <c r="I248">
        <v>-0.20605513847858201</v>
      </c>
      <c r="J248" s="24">
        <v>13008</v>
      </c>
      <c r="K248" s="27">
        <v>39477</v>
      </c>
      <c r="L248" s="17">
        <v>39508</v>
      </c>
      <c r="M248" s="29">
        <v>39470</v>
      </c>
      <c r="N248" s="17">
        <v>39508</v>
      </c>
      <c r="O248" s="13">
        <v>-0.5</v>
      </c>
      <c r="P248" s="26">
        <v>3.5</v>
      </c>
      <c r="Q248" s="20">
        <v>2.4</v>
      </c>
      <c r="R248" s="20">
        <v>2.7</v>
      </c>
      <c r="S248" s="20">
        <v>2</v>
      </c>
      <c r="T248" s="20">
        <v>2</v>
      </c>
      <c r="U248" s="20">
        <v>2</v>
      </c>
      <c r="V248" s="19">
        <v>0.6</v>
      </c>
      <c r="W248" s="19">
        <v>0.2</v>
      </c>
      <c r="X248" s="19">
        <v>-0.2</v>
      </c>
      <c r="Y248" s="19">
        <v>0</v>
      </c>
      <c r="Z248" s="20">
        <v>0.5</v>
      </c>
      <c r="AA248" s="20">
        <v>0.6</v>
      </c>
      <c r="AB248" s="20">
        <v>1.2</v>
      </c>
      <c r="AC248" s="20">
        <v>1.9</v>
      </c>
      <c r="AD248" s="20">
        <v>2.4</v>
      </c>
      <c r="AE248" s="19">
        <v>0.4</v>
      </c>
      <c r="AF248" s="19">
        <v>-0.1</v>
      </c>
      <c r="AG248" s="19">
        <v>-0.2</v>
      </c>
      <c r="AH248" s="19">
        <v>0.4</v>
      </c>
      <c r="AI248" s="15">
        <v>4.8</v>
      </c>
      <c r="AJ248" s="15">
        <v>5</v>
      </c>
      <c r="AK248" s="15">
        <v>5.0999999999999996</v>
      </c>
      <c r="AL248" s="15">
        <v>5.0999999999999996</v>
      </c>
      <c r="AM248" s="15">
        <v>5.0999999999999996</v>
      </c>
      <c r="AN248" s="19">
        <v>0.1</v>
      </c>
      <c r="AO248" s="19">
        <v>0.2</v>
      </c>
      <c r="AP248" s="19">
        <v>0.3</v>
      </c>
      <c r="AQ248" s="19">
        <v>0.2</v>
      </c>
    </row>
    <row r="249" spans="2:43">
      <c r="B249">
        <f t="shared" si="375"/>
        <v>2008</v>
      </c>
      <c r="C249">
        <f t="shared" si="376"/>
        <v>3</v>
      </c>
      <c r="D249" s="7">
        <v>39518</v>
      </c>
      <c r="E249" s="67">
        <f>E248</f>
        <v>39470</v>
      </c>
      <c r="F249" s="4">
        <v>1</v>
      </c>
      <c r="G249" s="4">
        <v>1</v>
      </c>
      <c r="H249" s="10">
        <v>0.115</v>
      </c>
      <c r="I249">
        <v>0.22801002892630101</v>
      </c>
      <c r="J249" s="12" t="e">
        <f>NA()</f>
        <v>#N/A</v>
      </c>
      <c r="K249" s="17" t="e">
        <v>#N/A</v>
      </c>
      <c r="L249" s="17" t="e">
        <v>#N/A</v>
      </c>
      <c r="M249" s="30" t="e">
        <v>#N/A</v>
      </c>
      <c r="N249" s="17" t="e">
        <v>#N/A</v>
      </c>
      <c r="O249" s="14" t="e">
        <v>#N/A</v>
      </c>
      <c r="P249" s="18" t="e">
        <v>#N/A</v>
      </c>
      <c r="Q249" s="68">
        <f>Q248</f>
        <v>2.4</v>
      </c>
      <c r="R249" s="68">
        <f t="shared" ref="R249" si="392">R248</f>
        <v>2.7</v>
      </c>
      <c r="S249" s="68">
        <f t="shared" ref="S249" si="393">S248</f>
        <v>2</v>
      </c>
      <c r="T249" s="68">
        <f t="shared" ref="T249" si="394">T248</f>
        <v>2</v>
      </c>
      <c r="U249" s="68">
        <f t="shared" ref="U249" si="395">U248</f>
        <v>2</v>
      </c>
      <c r="V249" s="69">
        <v>0</v>
      </c>
      <c r="W249" s="69">
        <v>0</v>
      </c>
      <c r="X249" s="69">
        <v>0</v>
      </c>
      <c r="Y249" s="69">
        <v>0</v>
      </c>
      <c r="Z249" s="68">
        <f>Z248</f>
        <v>0.5</v>
      </c>
      <c r="AA249" s="68">
        <f t="shared" ref="AA249" si="396">AA248</f>
        <v>0.6</v>
      </c>
      <c r="AB249" s="68">
        <f t="shared" ref="AB249" si="397">AB248</f>
        <v>1.2</v>
      </c>
      <c r="AC249" s="68">
        <f t="shared" ref="AC249" si="398">AC248</f>
        <v>1.9</v>
      </c>
      <c r="AD249" s="68">
        <f t="shared" ref="AD249" si="399">AD248</f>
        <v>2.4</v>
      </c>
      <c r="AE249" s="69">
        <v>0</v>
      </c>
      <c r="AF249" s="69">
        <v>0</v>
      </c>
      <c r="AG249" s="69">
        <v>0</v>
      </c>
      <c r="AH249" s="69">
        <v>0</v>
      </c>
      <c r="AI249" s="68">
        <f>AI248</f>
        <v>4.8</v>
      </c>
      <c r="AJ249" s="68">
        <f t="shared" ref="AJ249" si="400">AJ248</f>
        <v>5</v>
      </c>
      <c r="AK249" s="68">
        <f t="shared" ref="AK249" si="401">AK248</f>
        <v>5.0999999999999996</v>
      </c>
      <c r="AL249" s="68">
        <f t="shared" ref="AL249" si="402">AL248</f>
        <v>5.0999999999999996</v>
      </c>
      <c r="AM249" s="68">
        <f t="shared" ref="AM249" si="403">AM248</f>
        <v>5.0999999999999996</v>
      </c>
      <c r="AN249" s="69">
        <v>0</v>
      </c>
      <c r="AO249" s="69">
        <v>0</v>
      </c>
      <c r="AP249" s="69">
        <v>0</v>
      </c>
      <c r="AQ249" s="69">
        <v>0</v>
      </c>
    </row>
    <row r="250" spans="2:43">
      <c r="B250">
        <f t="shared" si="375"/>
        <v>2008</v>
      </c>
      <c r="C250">
        <f t="shared" si="376"/>
        <v>3</v>
      </c>
      <c r="D250" s="7">
        <v>39525</v>
      </c>
      <c r="E250" s="6">
        <v>39520</v>
      </c>
      <c r="F250" s="4">
        <v>1</v>
      </c>
      <c r="G250" s="4">
        <v>0</v>
      </c>
      <c r="H250" s="10">
        <v>7.4999999999999997E-2</v>
      </c>
      <c r="I250">
        <v>0.22801002892630101</v>
      </c>
      <c r="J250" s="24">
        <v>31808</v>
      </c>
      <c r="K250" s="27">
        <v>39525</v>
      </c>
      <c r="L250" s="17">
        <v>39508</v>
      </c>
      <c r="M250" s="29">
        <v>39520</v>
      </c>
      <c r="N250" s="17">
        <v>39508</v>
      </c>
      <c r="O250" s="13">
        <v>-0.75</v>
      </c>
      <c r="P250" s="26">
        <v>3</v>
      </c>
      <c r="Q250" s="20">
        <v>2.7</v>
      </c>
      <c r="R250" s="20">
        <v>2.5</v>
      </c>
      <c r="S250" s="20">
        <v>1.6</v>
      </c>
      <c r="T250" s="20">
        <v>2</v>
      </c>
      <c r="U250" s="20">
        <v>2</v>
      </c>
      <c r="V250" s="19">
        <v>0.3</v>
      </c>
      <c r="W250" s="19">
        <v>-0.2</v>
      </c>
      <c r="X250" s="19">
        <v>-0.4</v>
      </c>
      <c r="Y250" s="19">
        <v>0</v>
      </c>
      <c r="Z250" s="20">
        <v>0.4</v>
      </c>
      <c r="AA250" s="20">
        <v>0.1</v>
      </c>
      <c r="AB250" s="20">
        <v>-1</v>
      </c>
      <c r="AC250" s="20">
        <v>0.9</v>
      </c>
      <c r="AD250" s="20">
        <v>0.5</v>
      </c>
      <c r="AE250" s="19">
        <v>-0.1</v>
      </c>
      <c r="AF250" s="19">
        <v>-0.5</v>
      </c>
      <c r="AG250" s="19">
        <v>-2.2000000000000002</v>
      </c>
      <c r="AH250" s="19">
        <v>-1</v>
      </c>
      <c r="AI250" s="15">
        <v>4.8</v>
      </c>
      <c r="AJ250" s="15">
        <v>4.9000000000000004</v>
      </c>
      <c r="AK250" s="15">
        <v>5.2</v>
      </c>
      <c r="AL250" s="15">
        <v>5.5</v>
      </c>
      <c r="AM250" s="15">
        <v>5.7</v>
      </c>
      <c r="AN250" s="19">
        <v>0</v>
      </c>
      <c r="AO250" s="19">
        <v>-0.1</v>
      </c>
      <c r="AP250" s="19">
        <v>0.1</v>
      </c>
      <c r="AQ250" s="19">
        <v>0.4</v>
      </c>
    </row>
    <row r="251" spans="2:43">
      <c r="B251">
        <f t="shared" si="375"/>
        <v>2008</v>
      </c>
      <c r="C251">
        <f t="shared" si="376"/>
        <v>4</v>
      </c>
      <c r="D251" s="7">
        <v>39568</v>
      </c>
      <c r="E251" s="6">
        <v>39561</v>
      </c>
      <c r="F251" s="4">
        <v>1</v>
      </c>
      <c r="G251" s="4">
        <v>0</v>
      </c>
      <c r="H251" s="10">
        <v>-7.4999999999999997E-2</v>
      </c>
      <c r="I251">
        <v>-2.74959048757859E-2</v>
      </c>
      <c r="J251" s="24">
        <v>43008</v>
      </c>
      <c r="K251" s="27">
        <v>39568</v>
      </c>
      <c r="L251" s="17">
        <v>39600</v>
      </c>
      <c r="M251" s="29">
        <v>39561</v>
      </c>
      <c r="N251" s="17">
        <v>39600</v>
      </c>
      <c r="O251" s="13">
        <v>-0.25</v>
      </c>
      <c r="P251" s="26">
        <v>2.25</v>
      </c>
      <c r="Q251" s="20">
        <v>2.6</v>
      </c>
      <c r="R251" s="20">
        <v>0.9</v>
      </c>
      <c r="S251" s="20">
        <v>2.4</v>
      </c>
      <c r="T251" s="20">
        <v>2.1</v>
      </c>
      <c r="U251" s="20">
        <v>2.2999999999999998</v>
      </c>
      <c r="V251" s="19">
        <v>0.1</v>
      </c>
      <c r="W251" s="19">
        <v>-0.7</v>
      </c>
      <c r="X251" s="19">
        <v>0.4</v>
      </c>
      <c r="Y251" s="19">
        <v>0.1</v>
      </c>
      <c r="Z251" s="20">
        <v>0.4</v>
      </c>
      <c r="AA251" s="20">
        <v>-1.4</v>
      </c>
      <c r="AB251" s="20">
        <v>1.2</v>
      </c>
      <c r="AC251" s="20">
        <v>0.7</v>
      </c>
      <c r="AD251" s="20">
        <v>1.7</v>
      </c>
      <c r="AE251" s="19">
        <v>0.3</v>
      </c>
      <c r="AF251" s="19">
        <v>-0.4</v>
      </c>
      <c r="AG251" s="19">
        <v>0.3</v>
      </c>
      <c r="AH251" s="19">
        <v>0.2</v>
      </c>
      <c r="AI251" s="15">
        <v>4.9000000000000004</v>
      </c>
      <c r="AJ251" s="15">
        <v>5.2</v>
      </c>
      <c r="AK251" s="15">
        <v>5.5</v>
      </c>
      <c r="AL251" s="15">
        <v>5.7</v>
      </c>
      <c r="AM251" s="15">
        <v>5.7</v>
      </c>
      <c r="AN251" s="19">
        <v>0</v>
      </c>
      <c r="AO251" s="19">
        <v>0</v>
      </c>
      <c r="AP251" s="19">
        <v>0</v>
      </c>
      <c r="AQ251" s="19">
        <v>0</v>
      </c>
    </row>
    <row r="252" spans="2:43">
      <c r="B252">
        <f t="shared" si="375"/>
        <v>2008</v>
      </c>
      <c r="C252">
        <f t="shared" si="376"/>
        <v>6</v>
      </c>
      <c r="D252" s="7">
        <v>39624</v>
      </c>
      <c r="E252" s="6">
        <v>39617</v>
      </c>
      <c r="F252" s="4">
        <v>1</v>
      </c>
      <c r="G252" s="4">
        <v>0</v>
      </c>
      <c r="H252" s="10">
        <v>1.4999999999999999E-2</v>
      </c>
      <c r="I252">
        <v>-1.37713143950184E-2</v>
      </c>
      <c r="J252" s="24">
        <v>62508</v>
      </c>
      <c r="K252" s="27">
        <v>39624</v>
      </c>
      <c r="L252" s="17">
        <v>39600</v>
      </c>
      <c r="M252" s="29">
        <v>39617</v>
      </c>
      <c r="N252" s="17">
        <v>39600</v>
      </c>
      <c r="O252" s="13">
        <v>0</v>
      </c>
      <c r="P252" s="26">
        <v>2</v>
      </c>
      <c r="Q252" s="20">
        <v>2.7</v>
      </c>
      <c r="R252" s="20">
        <v>0.2</v>
      </c>
      <c r="S252" s="20">
        <v>3</v>
      </c>
      <c r="T252" s="20">
        <v>2.2999999999999998</v>
      </c>
      <c r="U252" s="20">
        <v>2.4</v>
      </c>
      <c r="V252" s="19">
        <v>0.1</v>
      </c>
      <c r="W252" s="19">
        <v>-0.7</v>
      </c>
      <c r="X252" s="19">
        <v>0.6</v>
      </c>
      <c r="Y252" s="19">
        <v>0.2</v>
      </c>
      <c r="Z252" s="20">
        <v>1.1000000000000001</v>
      </c>
      <c r="AA252" s="20">
        <v>1.7</v>
      </c>
      <c r="AB252" s="20">
        <v>0.9</v>
      </c>
      <c r="AC252" s="20">
        <v>0.5</v>
      </c>
      <c r="AD252" s="20">
        <v>1.4</v>
      </c>
      <c r="AE252" s="19">
        <v>0.7</v>
      </c>
      <c r="AF252" s="19">
        <v>3.1</v>
      </c>
      <c r="AG252" s="19">
        <v>-0.3</v>
      </c>
      <c r="AH252" s="19">
        <v>-0.2</v>
      </c>
      <c r="AI252" s="15">
        <v>4.9000000000000004</v>
      </c>
      <c r="AJ252" s="15">
        <v>5.3</v>
      </c>
      <c r="AK252" s="15">
        <v>5.5</v>
      </c>
      <c r="AL252" s="15">
        <v>5.6</v>
      </c>
      <c r="AM252" s="15">
        <v>5.7</v>
      </c>
      <c r="AN252" s="19">
        <v>0</v>
      </c>
      <c r="AO252" s="19">
        <v>0.1</v>
      </c>
      <c r="AP252" s="19">
        <v>0</v>
      </c>
      <c r="AQ252" s="19">
        <v>-0.1</v>
      </c>
    </row>
    <row r="253" spans="2:43">
      <c r="B253">
        <f t="shared" si="375"/>
        <v>2008</v>
      </c>
      <c r="C253">
        <f t="shared" si="376"/>
        <v>8</v>
      </c>
      <c r="D253" s="7">
        <v>39665</v>
      </c>
      <c r="E253" s="6">
        <v>39659</v>
      </c>
      <c r="F253" s="4">
        <v>1</v>
      </c>
      <c r="G253" s="4">
        <v>0</v>
      </c>
      <c r="H253" s="10">
        <v>-0.03</v>
      </c>
      <c r="I253">
        <v>5.7721745850914399E-2</v>
      </c>
      <c r="J253" s="24">
        <v>80508</v>
      </c>
      <c r="K253" s="27">
        <v>39665</v>
      </c>
      <c r="L253" s="17">
        <v>39692</v>
      </c>
      <c r="M253" s="29">
        <v>39659</v>
      </c>
      <c r="N253" s="17">
        <v>39692</v>
      </c>
      <c r="O253" s="13">
        <v>0</v>
      </c>
      <c r="P253" s="26">
        <v>2</v>
      </c>
      <c r="Q253" s="20">
        <v>0.5</v>
      </c>
      <c r="R253" s="20">
        <v>3.5</v>
      </c>
      <c r="S253" s="20">
        <v>2</v>
      </c>
      <c r="T253" s="20">
        <v>2.6</v>
      </c>
      <c r="U253" s="20">
        <v>2.5</v>
      </c>
      <c r="V253" s="19">
        <v>0.3</v>
      </c>
      <c r="W253" s="19">
        <v>0.5</v>
      </c>
      <c r="X253" s="19">
        <v>-0.3</v>
      </c>
      <c r="Y253" s="19">
        <v>0.2</v>
      </c>
      <c r="Z253" s="20">
        <v>2.7</v>
      </c>
      <c r="AA253" s="20">
        <v>0.7</v>
      </c>
      <c r="AB253" s="20">
        <v>0.4</v>
      </c>
      <c r="AC253" s="20">
        <v>1.4</v>
      </c>
      <c r="AD253" s="20">
        <v>2.2999999999999998</v>
      </c>
      <c r="AE253" s="19">
        <v>1</v>
      </c>
      <c r="AF253" s="19">
        <v>-0.2</v>
      </c>
      <c r="AG253" s="19">
        <v>-0.1</v>
      </c>
      <c r="AH253" s="19">
        <v>0</v>
      </c>
      <c r="AI253" s="15">
        <v>5.3</v>
      </c>
      <c r="AJ253" s="15">
        <v>5.8</v>
      </c>
      <c r="AK253" s="15">
        <v>5.9</v>
      </c>
      <c r="AL253" s="15">
        <v>6</v>
      </c>
      <c r="AM253" s="15">
        <v>6</v>
      </c>
      <c r="AN253" s="19">
        <v>0</v>
      </c>
      <c r="AO253" s="19">
        <v>0.3</v>
      </c>
      <c r="AP253" s="19">
        <v>0.3</v>
      </c>
      <c r="AQ253" s="19">
        <v>0.3</v>
      </c>
    </row>
    <row r="254" spans="2:43">
      <c r="B254">
        <f t="shared" si="375"/>
        <v>2008</v>
      </c>
      <c r="C254">
        <f t="shared" si="376"/>
        <v>9</v>
      </c>
      <c r="D254" s="7">
        <v>39707</v>
      </c>
      <c r="E254" s="6">
        <v>39701</v>
      </c>
      <c r="F254" s="4">
        <v>1</v>
      </c>
      <c r="G254" s="4">
        <v>0</v>
      </c>
      <c r="H254" s="10">
        <v>0.12</v>
      </c>
      <c r="I254">
        <v>0.15259097052148701</v>
      </c>
      <c r="J254" s="24">
        <v>91608</v>
      </c>
      <c r="K254" s="27">
        <v>39707</v>
      </c>
      <c r="L254" s="17">
        <v>39692</v>
      </c>
      <c r="M254" s="29">
        <v>39701</v>
      </c>
      <c r="N254" s="17">
        <v>39692</v>
      </c>
      <c r="O254" s="13">
        <v>0</v>
      </c>
      <c r="P254" s="26">
        <v>2</v>
      </c>
      <c r="Q254" s="20">
        <v>1.2</v>
      </c>
      <c r="R254" s="20">
        <v>4.9000000000000004</v>
      </c>
      <c r="S254" s="20">
        <v>2.7</v>
      </c>
      <c r="T254" s="20">
        <v>2.2999999999999998</v>
      </c>
      <c r="U254" s="20">
        <v>2.2999999999999998</v>
      </c>
      <c r="V254" s="19">
        <v>0.7</v>
      </c>
      <c r="W254" s="19">
        <v>1.4</v>
      </c>
      <c r="X254" s="19">
        <v>0.7</v>
      </c>
      <c r="Y254" s="19">
        <v>-0.3</v>
      </c>
      <c r="Z254" s="20">
        <v>3.5</v>
      </c>
      <c r="AA254" s="20">
        <v>0.6</v>
      </c>
      <c r="AB254" s="20">
        <v>1.1000000000000001</v>
      </c>
      <c r="AC254" s="20">
        <v>1.6</v>
      </c>
      <c r="AD254" s="20">
        <v>2.2000000000000002</v>
      </c>
      <c r="AE254" s="19">
        <v>0.8</v>
      </c>
      <c r="AF254" s="19">
        <v>-0.1</v>
      </c>
      <c r="AG254" s="19">
        <v>0.7</v>
      </c>
      <c r="AH254" s="19">
        <v>0.2</v>
      </c>
      <c r="AI254" s="15">
        <v>5.3</v>
      </c>
      <c r="AJ254" s="15">
        <v>6</v>
      </c>
      <c r="AK254" s="15">
        <v>6.2</v>
      </c>
      <c r="AL254" s="15">
        <v>6.2</v>
      </c>
      <c r="AM254" s="15">
        <v>6.2</v>
      </c>
      <c r="AN254" s="19">
        <v>0</v>
      </c>
      <c r="AO254" s="19">
        <v>0.2</v>
      </c>
      <c r="AP254" s="19">
        <v>0.3</v>
      </c>
      <c r="AQ254" s="19">
        <v>0.2</v>
      </c>
    </row>
    <row r="255" spans="2:43">
      <c r="B255">
        <f t="shared" si="375"/>
        <v>2008</v>
      </c>
      <c r="C255">
        <f t="shared" si="376"/>
        <v>10</v>
      </c>
      <c r="D255" s="7">
        <v>39729</v>
      </c>
      <c r="E255" s="67">
        <f>E254</f>
        <v>39701</v>
      </c>
      <c r="F255" s="4">
        <v>1</v>
      </c>
      <c r="G255" s="4">
        <v>1</v>
      </c>
      <c r="H255" s="10">
        <v>-9.9900000000000006E-3</v>
      </c>
      <c r="I255">
        <v>-6.1218619867064103E-2</v>
      </c>
      <c r="J255" s="12" t="e">
        <f>NA()</f>
        <v>#N/A</v>
      </c>
      <c r="K255" s="17" t="e">
        <v>#N/A</v>
      </c>
      <c r="L255" s="17" t="e">
        <v>#N/A</v>
      </c>
      <c r="M255" s="30" t="e">
        <v>#N/A</v>
      </c>
      <c r="N255" s="17" t="e">
        <v>#N/A</v>
      </c>
      <c r="O255" s="14" t="e">
        <v>#N/A</v>
      </c>
      <c r="P255" s="18" t="e">
        <v>#N/A</v>
      </c>
      <c r="Q255" s="68">
        <f>R254</f>
        <v>4.9000000000000004</v>
      </c>
      <c r="R255" s="68">
        <f>S254</f>
        <v>2.7</v>
      </c>
      <c r="S255" s="68">
        <f t="shared" ref="S255" si="404">T254</f>
        <v>2.2999999999999998</v>
      </c>
      <c r="T255" s="68">
        <f>U254</f>
        <v>2.2999999999999998</v>
      </c>
      <c r="U255" s="70">
        <v>2.1</v>
      </c>
      <c r="V255" s="69">
        <v>0</v>
      </c>
      <c r="W255" s="69">
        <v>0</v>
      </c>
      <c r="X255" s="69">
        <v>0</v>
      </c>
      <c r="Y255" s="69">
        <v>0</v>
      </c>
      <c r="Z255" s="68">
        <f>AA254</f>
        <v>0.6</v>
      </c>
      <c r="AA255" s="68">
        <f>AB254</f>
        <v>1.1000000000000001</v>
      </c>
      <c r="AB255" s="68">
        <f t="shared" ref="AB255" si="405">AC254</f>
        <v>1.6</v>
      </c>
      <c r="AC255" s="68">
        <f>AD254</f>
        <v>2.2000000000000002</v>
      </c>
      <c r="AD255" s="70">
        <v>2.2000000000000002</v>
      </c>
      <c r="AE255" s="69">
        <v>0</v>
      </c>
      <c r="AF255" s="69">
        <v>0</v>
      </c>
      <c r="AG255" s="69">
        <v>0</v>
      </c>
      <c r="AH255" s="69">
        <v>0</v>
      </c>
      <c r="AI255" s="68">
        <f>AJ254</f>
        <v>6</v>
      </c>
      <c r="AJ255" s="68">
        <f>AK254</f>
        <v>6.2</v>
      </c>
      <c r="AK255" s="68">
        <f t="shared" ref="AK255" si="406">AL254</f>
        <v>6.2</v>
      </c>
      <c r="AL255" s="68">
        <f>AM254</f>
        <v>6.2</v>
      </c>
      <c r="AM255" s="70">
        <v>6.2</v>
      </c>
      <c r="AN255" s="69">
        <v>0</v>
      </c>
      <c r="AO255" s="69">
        <v>0</v>
      </c>
      <c r="AP255" s="69">
        <v>0</v>
      </c>
      <c r="AQ255" s="69">
        <v>0</v>
      </c>
    </row>
    <row r="256" spans="2:43">
      <c r="B256">
        <f t="shared" si="375"/>
        <v>2008</v>
      </c>
      <c r="C256">
        <f t="shared" si="376"/>
        <v>10</v>
      </c>
      <c r="D256" s="7">
        <v>39750</v>
      </c>
      <c r="E256" s="6">
        <v>39743</v>
      </c>
      <c r="F256" s="4">
        <v>1</v>
      </c>
      <c r="G256" s="4">
        <v>0</v>
      </c>
      <c r="H256" s="10">
        <v>-0.05</v>
      </c>
      <c r="I256">
        <v>-6.1218619867064103E-2</v>
      </c>
      <c r="J256" s="24">
        <v>102908</v>
      </c>
      <c r="K256" s="27">
        <v>39750</v>
      </c>
      <c r="L256" s="17">
        <v>39783</v>
      </c>
      <c r="M256" s="29">
        <v>39743</v>
      </c>
      <c r="N256" s="17">
        <v>39783</v>
      </c>
      <c r="O256" s="13">
        <v>-0.5</v>
      </c>
      <c r="P256" s="26">
        <v>1.5</v>
      </c>
      <c r="Q256" s="20">
        <v>4.0999999999999996</v>
      </c>
      <c r="R256" s="20">
        <v>4.3</v>
      </c>
      <c r="S256" s="20">
        <v>2</v>
      </c>
      <c r="T256" s="20">
        <v>1.6</v>
      </c>
      <c r="U256" s="20">
        <v>1.5</v>
      </c>
      <c r="V256" s="19">
        <v>-0.8</v>
      </c>
      <c r="W256" s="19">
        <v>1.6</v>
      </c>
      <c r="X256" s="19">
        <v>-0.3</v>
      </c>
      <c r="Y256" s="19">
        <v>-0.7</v>
      </c>
      <c r="Z256" s="20">
        <v>-1</v>
      </c>
      <c r="AA256" s="20">
        <v>-1.3</v>
      </c>
      <c r="AB256" s="20">
        <v>-1.4</v>
      </c>
      <c r="AC256" s="20">
        <v>-0.4</v>
      </c>
      <c r="AD256" s="20">
        <v>0.4</v>
      </c>
      <c r="AE256" s="19">
        <v>-1.6</v>
      </c>
      <c r="AF256" s="19">
        <v>-2.4</v>
      </c>
      <c r="AG256" s="19">
        <v>-3</v>
      </c>
      <c r="AH256" s="19">
        <v>-2.6</v>
      </c>
      <c r="AI256" s="15">
        <v>6</v>
      </c>
      <c r="AJ256" s="15">
        <v>6.3</v>
      </c>
      <c r="AK256" s="15">
        <v>6.6</v>
      </c>
      <c r="AL256" s="15">
        <v>6.9</v>
      </c>
      <c r="AM256" s="15">
        <v>7.1</v>
      </c>
      <c r="AN256" s="19">
        <v>0</v>
      </c>
      <c r="AO256" s="19">
        <v>0.1</v>
      </c>
      <c r="AP256" s="19">
        <v>0.4</v>
      </c>
      <c r="AQ256" s="19">
        <v>0.7</v>
      </c>
    </row>
    <row r="257" spans="2:43">
      <c r="B257">
        <f t="shared" si="375"/>
        <v>2008</v>
      </c>
      <c r="C257">
        <f t="shared" si="376"/>
        <v>11</v>
      </c>
      <c r="D257" s="7">
        <v>39777</v>
      </c>
      <c r="E257" s="67">
        <f>E256</f>
        <v>39743</v>
      </c>
      <c r="F257" s="4">
        <v>0</v>
      </c>
      <c r="G257" s="4">
        <v>0</v>
      </c>
      <c r="H257" s="10">
        <v>-5.0000000000000001E-3</v>
      </c>
      <c r="I257">
        <v>3.8822368632098099E-2</v>
      </c>
      <c r="J257" s="12" t="e">
        <f>NA()</f>
        <v>#N/A</v>
      </c>
      <c r="K257" s="17" t="e">
        <v>#N/A</v>
      </c>
      <c r="L257" s="17" t="e">
        <v>#N/A</v>
      </c>
      <c r="M257" s="30" t="e">
        <v>#N/A</v>
      </c>
      <c r="N257" s="17" t="e">
        <v>#N/A</v>
      </c>
      <c r="O257" s="14" t="e">
        <v>#N/A</v>
      </c>
      <c r="P257" s="18" t="e">
        <v>#N/A</v>
      </c>
      <c r="Q257" s="68">
        <f>Q256</f>
        <v>4.0999999999999996</v>
      </c>
      <c r="R257" s="68">
        <f t="shared" ref="R257:R258" si="407">R256</f>
        <v>4.3</v>
      </c>
      <c r="S257" s="68">
        <f t="shared" ref="S257:S258" si="408">S256</f>
        <v>2</v>
      </c>
      <c r="T257" s="68">
        <f t="shared" ref="T257:T258" si="409">T256</f>
        <v>1.6</v>
      </c>
      <c r="U257" s="68">
        <f t="shared" ref="U257:U258" si="410">U256</f>
        <v>1.5</v>
      </c>
      <c r="V257" s="69">
        <v>0</v>
      </c>
      <c r="W257" s="69">
        <v>0</v>
      </c>
      <c r="X257" s="69">
        <v>0</v>
      </c>
      <c r="Y257" s="69">
        <v>0</v>
      </c>
      <c r="Z257" s="68">
        <f>Z256</f>
        <v>-1</v>
      </c>
      <c r="AA257" s="68">
        <f t="shared" ref="AA257:AA258" si="411">AA256</f>
        <v>-1.3</v>
      </c>
      <c r="AB257" s="68">
        <f t="shared" ref="AB257:AB258" si="412">AB256</f>
        <v>-1.4</v>
      </c>
      <c r="AC257" s="68">
        <f t="shared" ref="AC257:AC258" si="413">AC256</f>
        <v>-0.4</v>
      </c>
      <c r="AD257" s="68">
        <f t="shared" ref="AD257:AD258" si="414">AD256</f>
        <v>0.4</v>
      </c>
      <c r="AE257" s="69">
        <v>0</v>
      </c>
      <c r="AF257" s="69">
        <v>0</v>
      </c>
      <c r="AG257" s="69">
        <v>0</v>
      </c>
      <c r="AH257" s="69">
        <v>0</v>
      </c>
      <c r="AI257" s="68">
        <f>AI256</f>
        <v>6</v>
      </c>
      <c r="AJ257" s="68">
        <f t="shared" ref="AJ257:AJ258" si="415">AJ256</f>
        <v>6.3</v>
      </c>
      <c r="AK257" s="68">
        <f t="shared" ref="AK257:AK258" si="416">AK256</f>
        <v>6.6</v>
      </c>
      <c r="AL257" s="68">
        <f t="shared" ref="AL257:AL258" si="417">AL256</f>
        <v>6.9</v>
      </c>
      <c r="AM257" s="68">
        <f t="shared" ref="AM257:AM258" si="418">AM256</f>
        <v>7.1</v>
      </c>
      <c r="AN257" s="69">
        <v>0</v>
      </c>
      <c r="AO257" s="69">
        <v>0</v>
      </c>
      <c r="AP257" s="69">
        <v>0</v>
      </c>
      <c r="AQ257" s="69">
        <v>0</v>
      </c>
    </row>
    <row r="258" spans="2:43">
      <c r="B258">
        <f t="shared" si="375"/>
        <v>2008</v>
      </c>
      <c r="C258">
        <f t="shared" si="376"/>
        <v>12</v>
      </c>
      <c r="D258" s="7">
        <v>39783</v>
      </c>
      <c r="E258" s="67">
        <f>E257</f>
        <v>39743</v>
      </c>
      <c r="F258" s="4">
        <v>0</v>
      </c>
      <c r="G258" s="4">
        <v>0</v>
      </c>
      <c r="H258" s="10">
        <v>5.0000000000000001E-3</v>
      </c>
      <c r="I258">
        <v>-8.3846312216359103E-2</v>
      </c>
      <c r="J258" s="12" t="e">
        <f>NA()</f>
        <v>#N/A</v>
      </c>
      <c r="K258" s="17" t="e">
        <v>#N/A</v>
      </c>
      <c r="L258" s="17" t="e">
        <v>#N/A</v>
      </c>
      <c r="M258" s="30" t="e">
        <v>#N/A</v>
      </c>
      <c r="N258" s="17" t="e">
        <v>#N/A</v>
      </c>
      <c r="O258" s="14" t="e">
        <v>#N/A</v>
      </c>
      <c r="P258" s="18" t="e">
        <v>#N/A</v>
      </c>
      <c r="Q258" s="68">
        <f>Q257</f>
        <v>4.0999999999999996</v>
      </c>
      <c r="R258" s="68">
        <f t="shared" si="407"/>
        <v>4.3</v>
      </c>
      <c r="S258" s="68">
        <f t="shared" si="408"/>
        <v>2</v>
      </c>
      <c r="T258" s="68">
        <f t="shared" si="409"/>
        <v>1.6</v>
      </c>
      <c r="U258" s="68">
        <f t="shared" si="410"/>
        <v>1.5</v>
      </c>
      <c r="V258" s="69">
        <v>0</v>
      </c>
      <c r="W258" s="69">
        <v>0</v>
      </c>
      <c r="X258" s="69">
        <v>0</v>
      </c>
      <c r="Y258" s="69">
        <v>0</v>
      </c>
      <c r="Z258" s="68">
        <f>Z257</f>
        <v>-1</v>
      </c>
      <c r="AA258" s="68">
        <f t="shared" si="411"/>
        <v>-1.3</v>
      </c>
      <c r="AB258" s="68">
        <f t="shared" si="412"/>
        <v>-1.4</v>
      </c>
      <c r="AC258" s="68">
        <f t="shared" si="413"/>
        <v>-0.4</v>
      </c>
      <c r="AD258" s="68">
        <f t="shared" si="414"/>
        <v>0.4</v>
      </c>
      <c r="AE258" s="69">
        <v>0</v>
      </c>
      <c r="AF258" s="69">
        <v>0</v>
      </c>
      <c r="AG258" s="69">
        <v>0</v>
      </c>
      <c r="AH258" s="69">
        <v>0</v>
      </c>
      <c r="AI258" s="68">
        <f>AI257</f>
        <v>6</v>
      </c>
      <c r="AJ258" s="68">
        <f t="shared" si="415"/>
        <v>6.3</v>
      </c>
      <c r="AK258" s="68">
        <f t="shared" si="416"/>
        <v>6.6</v>
      </c>
      <c r="AL258" s="68">
        <f t="shared" si="417"/>
        <v>6.9</v>
      </c>
      <c r="AM258" s="68">
        <f t="shared" si="418"/>
        <v>7.1</v>
      </c>
      <c r="AN258" s="69">
        <v>0</v>
      </c>
      <c r="AO258" s="69">
        <v>0</v>
      </c>
      <c r="AP258" s="69">
        <v>0</v>
      </c>
      <c r="AQ258" s="69">
        <v>0</v>
      </c>
    </row>
    <row r="259" spans="2:43">
      <c r="B259">
        <f t="shared" ref="B259:B302" si="419">YEAR(D259)</f>
        <v>2008</v>
      </c>
      <c r="C259">
        <f t="shared" ref="C259:C302" si="420">MONTH(D259)</f>
        <v>12</v>
      </c>
      <c r="D259" s="7">
        <v>39798</v>
      </c>
      <c r="E259" s="6">
        <v>39792</v>
      </c>
      <c r="F259" s="4">
        <v>1</v>
      </c>
      <c r="G259" s="4">
        <v>0</v>
      </c>
      <c r="H259" s="10">
        <v>-0.18501000000000001</v>
      </c>
      <c r="I259">
        <v>-8.3846312216359103E-2</v>
      </c>
      <c r="J259" s="24">
        <v>121608</v>
      </c>
      <c r="K259" s="27">
        <v>39798</v>
      </c>
      <c r="L259" s="17">
        <v>39783</v>
      </c>
      <c r="M259" s="29">
        <v>39792</v>
      </c>
      <c r="N259" s="17">
        <v>39783</v>
      </c>
      <c r="O259" s="32">
        <v>-0.75</v>
      </c>
      <c r="P259" s="26">
        <v>1</v>
      </c>
      <c r="Q259" s="20">
        <v>4.0999999999999996</v>
      </c>
      <c r="R259" s="20">
        <v>2.4</v>
      </c>
      <c r="S259" s="20">
        <v>2.1</v>
      </c>
      <c r="T259" s="20">
        <v>1.6</v>
      </c>
      <c r="U259" s="20">
        <v>1.4</v>
      </c>
      <c r="V259" s="19">
        <v>0</v>
      </c>
      <c r="W259" s="19">
        <v>-1.9</v>
      </c>
      <c r="X259" s="19">
        <v>0.1</v>
      </c>
      <c r="Y259" s="19">
        <v>0</v>
      </c>
      <c r="Z259" s="20">
        <v>-0.4</v>
      </c>
      <c r="AA259" s="20">
        <v>-4.7</v>
      </c>
      <c r="AB259" s="20">
        <v>-5</v>
      </c>
      <c r="AC259" s="20">
        <v>-1.2</v>
      </c>
      <c r="AD259" s="20">
        <v>1</v>
      </c>
      <c r="AE259" s="19">
        <v>0.6</v>
      </c>
      <c r="AF259" s="19">
        <v>-3.4</v>
      </c>
      <c r="AG259" s="19">
        <v>-3.6</v>
      </c>
      <c r="AH259" s="19">
        <v>-0.8</v>
      </c>
      <c r="AI259" s="15">
        <v>6</v>
      </c>
      <c r="AJ259" s="15">
        <v>6.7</v>
      </c>
      <c r="AK259" s="15">
        <v>7.5</v>
      </c>
      <c r="AL259" s="15">
        <v>7.8</v>
      </c>
      <c r="AM259" s="15">
        <v>8</v>
      </c>
      <c r="AN259" s="19">
        <v>0</v>
      </c>
      <c r="AO259" s="19">
        <v>0.4</v>
      </c>
      <c r="AP259" s="19">
        <v>0.9</v>
      </c>
      <c r="AQ259" s="19">
        <v>0.9</v>
      </c>
    </row>
    <row r="260" spans="2:43">
      <c r="B260">
        <f t="shared" si="419"/>
        <v>2009</v>
      </c>
      <c r="C260">
        <f t="shared" si="420"/>
        <v>1</v>
      </c>
      <c r="D260" s="7">
        <v>39841</v>
      </c>
      <c r="E260" s="6">
        <v>39835</v>
      </c>
      <c r="F260" s="4">
        <v>1</v>
      </c>
      <c r="G260" s="4">
        <v>0</v>
      </c>
      <c r="H260" s="10">
        <v>0</v>
      </c>
      <c r="I260">
        <v>1.21388923187327E-2</v>
      </c>
      <c r="J260" s="24">
        <v>12809</v>
      </c>
      <c r="K260" s="27">
        <v>39841</v>
      </c>
      <c r="L260" s="17">
        <v>39873</v>
      </c>
      <c r="M260" s="29">
        <v>39835</v>
      </c>
      <c r="N260" s="17">
        <v>39873</v>
      </c>
      <c r="O260" s="32">
        <v>0</v>
      </c>
      <c r="P260" s="33">
        <v>0.125</v>
      </c>
      <c r="Q260" s="20">
        <v>1.7</v>
      </c>
      <c r="R260" s="20">
        <v>1.3</v>
      </c>
      <c r="S260" s="20">
        <v>2.2999999999999998</v>
      </c>
      <c r="T260" s="20">
        <v>1.4</v>
      </c>
      <c r="U260" s="20">
        <v>1.1000000000000001</v>
      </c>
      <c r="V260" s="19">
        <v>-0.7</v>
      </c>
      <c r="W260" s="19">
        <v>-0.8</v>
      </c>
      <c r="X260" s="19">
        <v>0.7</v>
      </c>
      <c r="Y260" s="19">
        <v>0</v>
      </c>
      <c r="Z260" s="20">
        <v>-4.9000000000000004</v>
      </c>
      <c r="AA260" s="20">
        <v>-5.6</v>
      </c>
      <c r="AB260" s="20">
        <v>-1.3</v>
      </c>
      <c r="AC260" s="20">
        <v>1.8</v>
      </c>
      <c r="AD260" s="20">
        <v>2.1</v>
      </c>
      <c r="AE260" s="19">
        <v>-0.2</v>
      </c>
      <c r="AF260" s="19">
        <v>-0.6</v>
      </c>
      <c r="AG260" s="19">
        <v>-0.1</v>
      </c>
      <c r="AH260" s="19">
        <v>0.8</v>
      </c>
      <c r="AI260" s="15">
        <v>6.9</v>
      </c>
      <c r="AJ260" s="15">
        <v>7.7</v>
      </c>
      <c r="AK260" s="15">
        <v>8.1999999999999993</v>
      </c>
      <c r="AL260" s="15">
        <v>8.3000000000000007</v>
      </c>
      <c r="AM260" s="15">
        <v>8.4</v>
      </c>
      <c r="AN260" s="19">
        <v>0.2</v>
      </c>
      <c r="AO260" s="19">
        <v>0.2</v>
      </c>
      <c r="AP260" s="19">
        <v>0.4</v>
      </c>
      <c r="AQ260" s="19">
        <v>0.3</v>
      </c>
    </row>
    <row r="261" spans="2:43">
      <c r="B261">
        <f t="shared" si="419"/>
        <v>2009</v>
      </c>
      <c r="C261">
        <f t="shared" si="420"/>
        <v>3</v>
      </c>
      <c r="D261" s="7">
        <v>39890</v>
      </c>
      <c r="E261" s="6">
        <v>39884</v>
      </c>
      <c r="F261" s="4">
        <v>1</v>
      </c>
      <c r="G261" s="4">
        <v>0</v>
      </c>
      <c r="H261" s="10">
        <v>-0.01</v>
      </c>
      <c r="I261">
        <v>1.58001149076487E-2</v>
      </c>
      <c r="J261" s="24">
        <v>31809</v>
      </c>
      <c r="K261" s="27">
        <v>39890</v>
      </c>
      <c r="L261" s="17">
        <v>39873</v>
      </c>
      <c r="M261" s="29">
        <v>39884</v>
      </c>
      <c r="N261" s="17">
        <v>39873</v>
      </c>
      <c r="O261" s="32">
        <v>0</v>
      </c>
      <c r="P261" s="33">
        <v>0.125</v>
      </c>
      <c r="Q261" s="20">
        <v>0.3</v>
      </c>
      <c r="R261" s="20">
        <v>3.4</v>
      </c>
      <c r="S261" s="20">
        <v>0.9</v>
      </c>
      <c r="T261" s="20">
        <v>1.1000000000000001</v>
      </c>
      <c r="U261" s="20">
        <v>0.9</v>
      </c>
      <c r="V261" s="19">
        <v>-1.4</v>
      </c>
      <c r="W261" s="19">
        <v>2.1</v>
      </c>
      <c r="X261" s="19">
        <v>-1.4</v>
      </c>
      <c r="Y261" s="19">
        <v>-0.3</v>
      </c>
      <c r="Z261" s="20">
        <v>-6.7</v>
      </c>
      <c r="AA261" s="20">
        <v>-6.5</v>
      </c>
      <c r="AB261" s="20">
        <v>-2</v>
      </c>
      <c r="AC261" s="20">
        <v>-0.5</v>
      </c>
      <c r="AD261" s="20">
        <v>-0.1</v>
      </c>
      <c r="AE261" s="19">
        <v>-1.8</v>
      </c>
      <c r="AF261" s="19">
        <v>-0.9</v>
      </c>
      <c r="AG261" s="19">
        <v>-0.7</v>
      </c>
      <c r="AH261" s="19">
        <v>-2.2999999999999998</v>
      </c>
      <c r="AI261" s="15">
        <v>6.9</v>
      </c>
      <c r="AJ261" s="15">
        <v>8</v>
      </c>
      <c r="AK261" s="15">
        <v>8.6999999999999993</v>
      </c>
      <c r="AL261" s="15">
        <v>9</v>
      </c>
      <c r="AM261" s="15">
        <v>9.1999999999999993</v>
      </c>
      <c r="AN261" s="19">
        <v>0</v>
      </c>
      <c r="AO261" s="19">
        <v>0.3</v>
      </c>
      <c r="AP261" s="19">
        <v>0.5</v>
      </c>
      <c r="AQ261" s="19">
        <v>0.7</v>
      </c>
    </row>
    <row r="262" spans="2:43">
      <c r="B262">
        <f t="shared" si="419"/>
        <v>2009</v>
      </c>
      <c r="C262">
        <f t="shared" si="420"/>
        <v>4</v>
      </c>
      <c r="D262" s="7">
        <v>39932</v>
      </c>
      <c r="E262" s="6">
        <v>39925</v>
      </c>
      <c r="F262" s="4">
        <v>1</v>
      </c>
      <c r="G262" s="4">
        <v>0</v>
      </c>
      <c r="H262" s="10">
        <v>5.0000000000000001E-3</v>
      </c>
      <c r="I262">
        <v>1.7478839437733502E-2</v>
      </c>
      <c r="J262" s="24">
        <v>42909</v>
      </c>
      <c r="K262" s="27">
        <v>39932</v>
      </c>
      <c r="L262" s="17">
        <v>39965</v>
      </c>
      <c r="M262" s="29">
        <v>39925</v>
      </c>
      <c r="N262" s="17">
        <v>39965</v>
      </c>
      <c r="O262" s="32">
        <v>0</v>
      </c>
      <c r="P262" s="33">
        <v>0.125</v>
      </c>
      <c r="Q262" s="20">
        <v>3.3</v>
      </c>
      <c r="R262" s="20">
        <v>0.5</v>
      </c>
      <c r="S262" s="20">
        <v>1.5</v>
      </c>
      <c r="T262" s="20">
        <v>1.1000000000000001</v>
      </c>
      <c r="U262" s="20">
        <v>1</v>
      </c>
      <c r="V262" s="19">
        <v>-0.1</v>
      </c>
      <c r="W262" s="19">
        <v>-0.4</v>
      </c>
      <c r="X262" s="19">
        <v>0.4</v>
      </c>
      <c r="Y262" s="19">
        <v>0.2</v>
      </c>
      <c r="Z262" s="20">
        <v>-6.3</v>
      </c>
      <c r="AA262" s="20">
        <v>-1.5</v>
      </c>
      <c r="AB262" s="20">
        <v>0.4</v>
      </c>
      <c r="AC262" s="20">
        <v>1.2</v>
      </c>
      <c r="AD262" s="20">
        <v>1.9</v>
      </c>
      <c r="AE262" s="19">
        <v>0.2</v>
      </c>
      <c r="AF262" s="19">
        <v>0.5</v>
      </c>
      <c r="AG262" s="19">
        <v>0.9</v>
      </c>
      <c r="AH262" s="19">
        <v>1.3</v>
      </c>
      <c r="AI262" s="15">
        <v>8.1</v>
      </c>
      <c r="AJ262" s="15">
        <v>9</v>
      </c>
      <c r="AK262" s="15">
        <v>9.1999999999999993</v>
      </c>
      <c r="AL262" s="15">
        <v>9.3000000000000007</v>
      </c>
      <c r="AM262" s="15">
        <v>9.3000000000000007</v>
      </c>
      <c r="AN262" s="19">
        <v>0.1</v>
      </c>
      <c r="AO262" s="19">
        <v>0.3</v>
      </c>
      <c r="AP262" s="19">
        <v>0.2</v>
      </c>
      <c r="AQ262" s="19">
        <v>0.1</v>
      </c>
    </row>
    <row r="263" spans="2:43">
      <c r="B263">
        <f t="shared" si="419"/>
        <v>2009</v>
      </c>
      <c r="C263">
        <f t="shared" si="420"/>
        <v>6</v>
      </c>
      <c r="D263" s="7">
        <v>39988</v>
      </c>
      <c r="E263" s="6">
        <v>39981</v>
      </c>
      <c r="F263" s="4">
        <v>1</v>
      </c>
      <c r="G263" s="4">
        <v>0</v>
      </c>
      <c r="H263" s="10">
        <v>0</v>
      </c>
      <c r="I263">
        <v>8.6365133278329207E-3</v>
      </c>
      <c r="J263" s="24">
        <v>62409</v>
      </c>
      <c r="K263" s="27">
        <v>39988</v>
      </c>
      <c r="L263" s="17">
        <v>39965</v>
      </c>
      <c r="M263" s="29">
        <v>39981</v>
      </c>
      <c r="N263" s="17">
        <v>39965</v>
      </c>
      <c r="O263" s="32">
        <v>0</v>
      </c>
      <c r="P263" s="33">
        <v>0.125</v>
      </c>
      <c r="Q263" s="20">
        <v>2.7</v>
      </c>
      <c r="R263" s="20">
        <v>-0.6</v>
      </c>
      <c r="S263" s="20">
        <v>1.6</v>
      </c>
      <c r="T263" s="20">
        <v>1.6</v>
      </c>
      <c r="U263" s="20">
        <v>1.4</v>
      </c>
      <c r="V263" s="19">
        <v>-0.6</v>
      </c>
      <c r="W263" s="19">
        <v>-1.1000000000000001</v>
      </c>
      <c r="X263" s="19">
        <v>0.1</v>
      </c>
      <c r="Y263" s="19">
        <v>0.5</v>
      </c>
      <c r="Z263" s="20">
        <v>-5.5</v>
      </c>
      <c r="AA263" s="20">
        <v>-1</v>
      </c>
      <c r="AB263" s="20">
        <v>0.7</v>
      </c>
      <c r="AC263" s="20">
        <v>1.6</v>
      </c>
      <c r="AD263" s="20">
        <v>2.2999999999999998</v>
      </c>
      <c r="AE263" s="19">
        <v>0.8</v>
      </c>
      <c r="AF263" s="19">
        <v>0.5</v>
      </c>
      <c r="AG263" s="19">
        <v>0.3</v>
      </c>
      <c r="AH263" s="19">
        <v>0.4</v>
      </c>
      <c r="AI263" s="15">
        <v>8.1</v>
      </c>
      <c r="AJ263" s="15">
        <v>9.3000000000000007</v>
      </c>
      <c r="AK263" s="15">
        <v>9.8000000000000007</v>
      </c>
      <c r="AL263" s="15">
        <v>10</v>
      </c>
      <c r="AM263" s="15">
        <v>10</v>
      </c>
      <c r="AN263" s="19">
        <v>0</v>
      </c>
      <c r="AO263" s="19">
        <v>0.3</v>
      </c>
      <c r="AP263" s="19">
        <v>0.6</v>
      </c>
      <c r="AQ263" s="19">
        <v>0.7</v>
      </c>
    </row>
    <row r="264" spans="2:43">
      <c r="B264">
        <f t="shared" si="419"/>
        <v>2009</v>
      </c>
      <c r="C264">
        <f t="shared" si="420"/>
        <v>8</v>
      </c>
      <c r="D264" s="7">
        <v>40037</v>
      </c>
      <c r="E264" s="6">
        <v>40031</v>
      </c>
      <c r="F264" s="4">
        <v>1</v>
      </c>
      <c r="G264" s="4">
        <v>0</v>
      </c>
      <c r="H264" s="10">
        <v>-5.0000000000000001E-3</v>
      </c>
      <c r="I264">
        <v>1.21878705389882E-2</v>
      </c>
      <c r="J264" s="24">
        <v>81209</v>
      </c>
      <c r="K264" s="27">
        <v>40037</v>
      </c>
      <c r="L264" s="17">
        <v>40057</v>
      </c>
      <c r="M264" s="29">
        <v>40031</v>
      </c>
      <c r="N264" s="17">
        <v>40057</v>
      </c>
      <c r="O264" s="32">
        <v>0</v>
      </c>
      <c r="P264" s="33">
        <v>0.125</v>
      </c>
      <c r="Q264" s="20">
        <v>0.2</v>
      </c>
      <c r="R264" s="20">
        <v>0.8</v>
      </c>
      <c r="S264" s="20">
        <v>1.2</v>
      </c>
      <c r="T264" s="20">
        <v>1.1000000000000001</v>
      </c>
      <c r="U264" s="20">
        <v>1.2</v>
      </c>
      <c r="V264" s="19">
        <v>0.8</v>
      </c>
      <c r="W264" s="19">
        <v>-0.8</v>
      </c>
      <c r="X264" s="19">
        <v>-0.4</v>
      </c>
      <c r="Y264" s="19">
        <v>-0.3</v>
      </c>
      <c r="Z264" s="20">
        <v>-1.5</v>
      </c>
      <c r="AA264" s="20">
        <v>0.8</v>
      </c>
      <c r="AB264" s="20">
        <v>1.7</v>
      </c>
      <c r="AC264" s="20">
        <v>2.5</v>
      </c>
      <c r="AD264" s="20">
        <v>3</v>
      </c>
      <c r="AE264" s="19">
        <v>-0.5</v>
      </c>
      <c r="AF264" s="19">
        <v>0.1</v>
      </c>
      <c r="AG264" s="19">
        <v>0.1</v>
      </c>
      <c r="AH264" s="19">
        <v>0.2</v>
      </c>
      <c r="AI264" s="15">
        <v>9.1999999999999993</v>
      </c>
      <c r="AJ264" s="15">
        <v>9.8000000000000007</v>
      </c>
      <c r="AK264" s="15">
        <v>10</v>
      </c>
      <c r="AL264" s="15">
        <v>10</v>
      </c>
      <c r="AM264" s="15">
        <v>9.9</v>
      </c>
      <c r="AN264" s="19">
        <v>-0.1</v>
      </c>
      <c r="AO264" s="19">
        <v>0</v>
      </c>
      <c r="AP264" s="19">
        <v>0</v>
      </c>
      <c r="AQ264" s="19">
        <v>0</v>
      </c>
    </row>
    <row r="265" spans="2:43">
      <c r="B265">
        <f t="shared" si="419"/>
        <v>2009</v>
      </c>
      <c r="C265">
        <f t="shared" si="420"/>
        <v>9</v>
      </c>
      <c r="D265" s="7">
        <v>40079</v>
      </c>
      <c r="E265" s="6">
        <v>40072</v>
      </c>
      <c r="F265" s="4">
        <v>1</v>
      </c>
      <c r="G265" s="4">
        <v>0</v>
      </c>
      <c r="H265" s="10">
        <v>-1.4999999999999999E-2</v>
      </c>
      <c r="I265">
        <v>-4.2871410918983999E-2</v>
      </c>
      <c r="J265" s="24">
        <v>92309</v>
      </c>
      <c r="K265" s="27">
        <v>40079</v>
      </c>
      <c r="L265" s="17">
        <v>40057</v>
      </c>
      <c r="M265" s="29">
        <v>40072</v>
      </c>
      <c r="N265" s="17">
        <v>40057</v>
      </c>
      <c r="O265" s="32">
        <v>0</v>
      </c>
      <c r="P265" s="33">
        <v>0.125</v>
      </c>
      <c r="Q265" s="20">
        <v>0</v>
      </c>
      <c r="R265" s="20">
        <v>0.7</v>
      </c>
      <c r="S265" s="20">
        <v>1</v>
      </c>
      <c r="T265" s="20">
        <v>1.4</v>
      </c>
      <c r="U265" s="20">
        <v>1.2</v>
      </c>
      <c r="V265" s="19">
        <v>-0.2</v>
      </c>
      <c r="W265" s="19">
        <v>-0.1</v>
      </c>
      <c r="X265" s="19">
        <v>-0.2</v>
      </c>
      <c r="Y265" s="19">
        <v>0.3</v>
      </c>
      <c r="Z265" s="20">
        <v>-1</v>
      </c>
      <c r="AA265" s="20">
        <v>2.5</v>
      </c>
      <c r="AB265" s="20">
        <v>3.2</v>
      </c>
      <c r="AC265" s="20">
        <v>2.8</v>
      </c>
      <c r="AD265" s="20">
        <v>3.2</v>
      </c>
      <c r="AE265" s="19">
        <v>0.5</v>
      </c>
      <c r="AF265" s="19">
        <v>1.7</v>
      </c>
      <c r="AG265" s="19">
        <v>1.5</v>
      </c>
      <c r="AH265" s="19">
        <v>0.3</v>
      </c>
      <c r="AI265" s="15">
        <v>9.1999999999999993</v>
      </c>
      <c r="AJ265" s="15">
        <v>9.6</v>
      </c>
      <c r="AK265" s="15">
        <v>9.9</v>
      </c>
      <c r="AL265" s="15">
        <v>9.8000000000000007</v>
      </c>
      <c r="AM265" s="15">
        <v>9.6</v>
      </c>
      <c r="AN265" s="19">
        <v>0</v>
      </c>
      <c r="AO265" s="19">
        <v>-0.2</v>
      </c>
      <c r="AP265" s="19">
        <v>-0.1</v>
      </c>
      <c r="AQ265" s="19">
        <v>-0.2</v>
      </c>
    </row>
    <row r="266" spans="2:43">
      <c r="B266">
        <f t="shared" si="419"/>
        <v>2009</v>
      </c>
      <c r="C266">
        <f t="shared" si="420"/>
        <v>11</v>
      </c>
      <c r="D266" s="7">
        <v>40121</v>
      </c>
      <c r="E266" s="6">
        <v>40115</v>
      </c>
      <c r="F266" s="4">
        <v>1</v>
      </c>
      <c r="G266" s="4">
        <v>0</v>
      </c>
      <c r="H266" s="10">
        <v>-9.9900000000000006E-3</v>
      </c>
      <c r="I266">
        <v>-1.94647777051375E-2</v>
      </c>
      <c r="J266" s="24">
        <v>110409</v>
      </c>
      <c r="K266" s="27">
        <v>40121</v>
      </c>
      <c r="L266" s="17">
        <v>40148</v>
      </c>
      <c r="M266" s="29">
        <v>40115</v>
      </c>
      <c r="N266" s="17">
        <v>40148</v>
      </c>
      <c r="O266" s="32">
        <v>0</v>
      </c>
      <c r="P266" s="33">
        <v>0.125</v>
      </c>
      <c r="Q266" s="20">
        <v>0.8</v>
      </c>
      <c r="R266" s="20">
        <v>0.3</v>
      </c>
      <c r="S266" s="20">
        <v>1.7</v>
      </c>
      <c r="T266" s="20">
        <v>1.3</v>
      </c>
      <c r="U266" s="20">
        <v>1.2</v>
      </c>
      <c r="V266" s="19">
        <v>0.1</v>
      </c>
      <c r="W266" s="19">
        <v>-0.7</v>
      </c>
      <c r="X266" s="19">
        <v>0.3</v>
      </c>
      <c r="Y266" s="19">
        <v>0.1</v>
      </c>
      <c r="Z266" s="20">
        <v>3.4</v>
      </c>
      <c r="AA266" s="20">
        <v>2.8</v>
      </c>
      <c r="AB266" s="20">
        <v>3.2</v>
      </c>
      <c r="AC266" s="20">
        <v>3.2</v>
      </c>
      <c r="AD266" s="20">
        <v>3.5</v>
      </c>
      <c r="AE266" s="19">
        <v>0.9</v>
      </c>
      <c r="AF266" s="19">
        <v>-0.4</v>
      </c>
      <c r="AG266" s="19">
        <v>0.4</v>
      </c>
      <c r="AH266" s="19">
        <v>0</v>
      </c>
      <c r="AI266" s="15">
        <v>9.6</v>
      </c>
      <c r="AJ266" s="15">
        <v>10.1</v>
      </c>
      <c r="AK266" s="15">
        <v>10.1</v>
      </c>
      <c r="AL266" s="15">
        <v>9.9</v>
      </c>
      <c r="AM266" s="15">
        <v>9.6999999999999993</v>
      </c>
      <c r="AN266" s="19">
        <v>0</v>
      </c>
      <c r="AO266" s="19">
        <v>0.2</v>
      </c>
      <c r="AP266" s="19">
        <v>0.3</v>
      </c>
      <c r="AQ266" s="19">
        <v>0.3</v>
      </c>
    </row>
    <row r="267" spans="2:43">
      <c r="B267">
        <f t="shared" si="419"/>
        <v>2009</v>
      </c>
      <c r="C267">
        <f t="shared" si="420"/>
        <v>12</v>
      </c>
      <c r="D267" s="7">
        <v>40163</v>
      </c>
      <c r="E267" s="6">
        <v>40156</v>
      </c>
      <c r="F267" s="4">
        <v>1</v>
      </c>
      <c r="G267" s="4">
        <v>0</v>
      </c>
      <c r="H267" s="10">
        <v>-5.0000000000000001E-3</v>
      </c>
      <c r="I267">
        <v>-3.8940022900175099E-2</v>
      </c>
      <c r="J267" s="24">
        <v>121609</v>
      </c>
      <c r="K267" s="27">
        <v>40163</v>
      </c>
      <c r="L267" s="17">
        <v>40148</v>
      </c>
      <c r="M267" s="29">
        <v>40156</v>
      </c>
      <c r="N267" s="17">
        <v>40148</v>
      </c>
      <c r="O267" s="32">
        <v>0</v>
      </c>
      <c r="P267" s="33">
        <v>0.125</v>
      </c>
      <c r="Q267" s="20">
        <v>0.5</v>
      </c>
      <c r="R267" s="20">
        <v>0.7</v>
      </c>
      <c r="S267" s="20">
        <v>1.3</v>
      </c>
      <c r="T267" s="20">
        <v>1.5</v>
      </c>
      <c r="U267" s="20">
        <v>1.3</v>
      </c>
      <c r="V267" s="19">
        <v>-0.3</v>
      </c>
      <c r="W267" s="19">
        <v>0.4</v>
      </c>
      <c r="X267" s="19">
        <v>-0.4</v>
      </c>
      <c r="Y267" s="19">
        <v>0.2</v>
      </c>
      <c r="Z267" s="20">
        <v>2.5</v>
      </c>
      <c r="AA267" s="20">
        <v>3.8</v>
      </c>
      <c r="AB267" s="20">
        <v>3.6</v>
      </c>
      <c r="AC267" s="20">
        <v>3.5</v>
      </c>
      <c r="AD267" s="20">
        <v>3.6</v>
      </c>
      <c r="AE267" s="19">
        <v>-0.9</v>
      </c>
      <c r="AF267" s="19">
        <v>1</v>
      </c>
      <c r="AG267" s="19">
        <v>0.4</v>
      </c>
      <c r="AH267" s="19">
        <v>0.3</v>
      </c>
      <c r="AI267" s="15">
        <v>9.6</v>
      </c>
      <c r="AJ267" s="15">
        <v>10.1</v>
      </c>
      <c r="AK267" s="15">
        <v>10.1</v>
      </c>
      <c r="AL267" s="15">
        <v>9.9</v>
      </c>
      <c r="AM267" s="15">
        <v>9.8000000000000007</v>
      </c>
      <c r="AN267" s="19">
        <v>0</v>
      </c>
      <c r="AO267" s="19">
        <v>0</v>
      </c>
      <c r="AP267" s="19">
        <v>0</v>
      </c>
      <c r="AQ267" s="19">
        <v>0</v>
      </c>
    </row>
    <row r="268" spans="2:43">
      <c r="B268">
        <f t="shared" si="419"/>
        <v>2010</v>
      </c>
      <c r="C268">
        <f t="shared" si="420"/>
        <v>1</v>
      </c>
      <c r="D268" s="7">
        <v>40205</v>
      </c>
      <c r="E268" s="6">
        <v>40198</v>
      </c>
      <c r="F268" s="4">
        <v>1</v>
      </c>
      <c r="G268" s="4">
        <v>0</v>
      </c>
      <c r="H268" s="10">
        <v>0</v>
      </c>
      <c r="I268" s="10" t="e">
        <v>#N/A</v>
      </c>
      <c r="J268" s="34">
        <v>12710</v>
      </c>
      <c r="K268" s="35">
        <v>40205</v>
      </c>
      <c r="L268" s="35">
        <v>40238</v>
      </c>
      <c r="M268" s="42">
        <v>40198</v>
      </c>
      <c r="N268" s="35">
        <v>40238</v>
      </c>
      <c r="O268" s="32">
        <v>0</v>
      </c>
      <c r="P268" s="33">
        <v>0.125</v>
      </c>
      <c r="Q268" s="20">
        <v>0.8</v>
      </c>
      <c r="R268" s="20">
        <v>1.9</v>
      </c>
      <c r="S268" s="20">
        <v>1.1000000000000001</v>
      </c>
      <c r="T268" s="20">
        <v>1.2</v>
      </c>
      <c r="U268" s="20">
        <v>1.1000000000000001</v>
      </c>
      <c r="V268" s="19">
        <v>0.1</v>
      </c>
      <c r="W268" s="19">
        <v>0.6</v>
      </c>
      <c r="X268" s="19">
        <v>-0.4</v>
      </c>
      <c r="Y268" s="19">
        <v>-0.1</v>
      </c>
      <c r="Z268" s="20">
        <v>5.3</v>
      </c>
      <c r="AA268" s="20">
        <v>2.8</v>
      </c>
      <c r="AB268" s="20">
        <v>3.8</v>
      </c>
      <c r="AC268" s="20">
        <v>3.9</v>
      </c>
      <c r="AD268" s="20">
        <v>4</v>
      </c>
      <c r="AE268" s="19">
        <v>1.5</v>
      </c>
      <c r="AF268" s="19">
        <v>-0.8</v>
      </c>
      <c r="AG268" s="19">
        <v>0.3</v>
      </c>
      <c r="AH268" s="19">
        <v>0.3</v>
      </c>
      <c r="AI268" s="20">
        <v>10</v>
      </c>
      <c r="AJ268" s="20">
        <v>10.1</v>
      </c>
      <c r="AK268" s="20">
        <v>9.9</v>
      </c>
      <c r="AL268" s="20">
        <v>9.6999999999999993</v>
      </c>
      <c r="AM268" s="20">
        <v>9.5</v>
      </c>
      <c r="AN268" s="19">
        <v>-0.1</v>
      </c>
      <c r="AO268" s="19">
        <v>0</v>
      </c>
      <c r="AP268" s="19">
        <v>0</v>
      </c>
      <c r="AQ268" s="19">
        <v>-0.1</v>
      </c>
    </row>
    <row r="269" spans="2:43">
      <c r="B269">
        <f t="shared" si="419"/>
        <v>2010</v>
      </c>
      <c r="C269">
        <f t="shared" si="420"/>
        <v>3</v>
      </c>
      <c r="D269" s="7">
        <v>40253</v>
      </c>
      <c r="E269" s="6">
        <v>40247</v>
      </c>
      <c r="F269" s="4">
        <v>1</v>
      </c>
      <c r="G269" s="4">
        <v>0</v>
      </c>
      <c r="H269" s="10">
        <v>-0.01</v>
      </c>
      <c r="I269" s="10" t="e">
        <v>#N/A</v>
      </c>
      <c r="J269" s="34">
        <v>31610</v>
      </c>
      <c r="K269" s="35">
        <v>40253</v>
      </c>
      <c r="L269" s="35">
        <v>40238</v>
      </c>
      <c r="M269" s="42">
        <v>40247</v>
      </c>
      <c r="N269" s="35">
        <v>40238</v>
      </c>
      <c r="O269" s="32">
        <v>0</v>
      </c>
      <c r="P269" s="33">
        <v>0.125</v>
      </c>
      <c r="Q269" s="20">
        <v>0.4</v>
      </c>
      <c r="R269" s="20">
        <v>2</v>
      </c>
      <c r="S269" s="20">
        <v>0.8</v>
      </c>
      <c r="T269" s="20">
        <v>1.2</v>
      </c>
      <c r="U269" s="20">
        <v>0.9</v>
      </c>
      <c r="V269" s="19">
        <v>-0.4</v>
      </c>
      <c r="W269" s="19">
        <v>0.1</v>
      </c>
      <c r="X269" s="19">
        <v>-0.3</v>
      </c>
      <c r="Y269" s="19">
        <v>0</v>
      </c>
      <c r="Z269" s="20">
        <v>5.6</v>
      </c>
      <c r="AA269" s="20">
        <v>2.2000000000000002</v>
      </c>
      <c r="AB269" s="20">
        <v>3.6</v>
      </c>
      <c r="AC269" s="20">
        <v>3.5</v>
      </c>
      <c r="AD269" s="20">
        <v>3.8</v>
      </c>
      <c r="AE269" s="19">
        <v>0.3</v>
      </c>
      <c r="AF269" s="19">
        <v>-0.6</v>
      </c>
      <c r="AG269" s="19">
        <v>-0.2</v>
      </c>
      <c r="AH269" s="19">
        <v>-0.4</v>
      </c>
      <c r="AI269" s="20">
        <v>10</v>
      </c>
      <c r="AJ269" s="20">
        <v>9.6999999999999993</v>
      </c>
      <c r="AK269" s="20">
        <v>9.6</v>
      </c>
      <c r="AL269" s="20">
        <v>9.6</v>
      </c>
      <c r="AM269" s="20">
        <v>9.4</v>
      </c>
      <c r="AN269" s="19">
        <v>0</v>
      </c>
      <c r="AO269" s="19">
        <v>-0.4</v>
      </c>
      <c r="AP269" s="19">
        <v>-0.3</v>
      </c>
      <c r="AQ269" s="19">
        <v>-0.1</v>
      </c>
    </row>
    <row r="270" spans="2:43">
      <c r="B270">
        <f t="shared" si="419"/>
        <v>2010</v>
      </c>
      <c r="C270">
        <f t="shared" si="420"/>
        <v>4</v>
      </c>
      <c r="D270" s="7">
        <v>40296</v>
      </c>
      <c r="E270" s="6">
        <v>40289</v>
      </c>
      <c r="F270" s="4">
        <v>1</v>
      </c>
      <c r="G270" s="4">
        <v>0</v>
      </c>
      <c r="H270" s="10">
        <v>-0.01</v>
      </c>
      <c r="I270" s="10" t="e">
        <v>#N/A</v>
      </c>
      <c r="J270" s="34">
        <v>42810</v>
      </c>
      <c r="K270" s="35">
        <v>40296</v>
      </c>
      <c r="L270" s="35">
        <v>40330</v>
      </c>
      <c r="M270" s="42">
        <v>40289</v>
      </c>
      <c r="N270" s="35">
        <v>40330</v>
      </c>
      <c r="O270" s="32">
        <v>0</v>
      </c>
      <c r="P270" s="33">
        <v>0.125</v>
      </c>
      <c r="Q270" s="20">
        <v>1.1000000000000001</v>
      </c>
      <c r="R270" s="20">
        <v>1</v>
      </c>
      <c r="S270" s="20">
        <v>1.3</v>
      </c>
      <c r="T270" s="20">
        <v>1</v>
      </c>
      <c r="U270" s="20">
        <v>1</v>
      </c>
      <c r="V270" s="19">
        <v>-0.9</v>
      </c>
      <c r="W270" s="19">
        <v>0.2</v>
      </c>
      <c r="X270" s="19">
        <v>0.1</v>
      </c>
      <c r="Y270" s="19">
        <v>0.1</v>
      </c>
      <c r="Z270" s="20">
        <v>2.9</v>
      </c>
      <c r="AA270" s="20">
        <v>3.5</v>
      </c>
      <c r="AB270" s="20">
        <v>3.6</v>
      </c>
      <c r="AC270" s="20">
        <v>3.8</v>
      </c>
      <c r="AD270" s="20">
        <v>4</v>
      </c>
      <c r="AE270" s="19">
        <v>0.7</v>
      </c>
      <c r="AF270" s="19">
        <v>-0.1</v>
      </c>
      <c r="AG270" s="19">
        <v>0.1</v>
      </c>
      <c r="AH270" s="19">
        <v>0</v>
      </c>
      <c r="AI270" s="20">
        <v>9.6999999999999993</v>
      </c>
      <c r="AJ270" s="20">
        <v>9.5</v>
      </c>
      <c r="AK270" s="20">
        <v>9.5</v>
      </c>
      <c r="AL270" s="20">
        <v>9.3000000000000007</v>
      </c>
      <c r="AM270" s="20">
        <v>8.9</v>
      </c>
      <c r="AN270" s="19">
        <v>0</v>
      </c>
      <c r="AO270" s="19">
        <v>-0.1</v>
      </c>
      <c r="AP270" s="19">
        <v>-0.1</v>
      </c>
      <c r="AQ270" s="19">
        <v>-0.1</v>
      </c>
    </row>
    <row r="271" spans="2:43">
      <c r="B271">
        <f t="shared" si="419"/>
        <v>2010</v>
      </c>
      <c r="C271">
        <f t="shared" si="420"/>
        <v>6</v>
      </c>
      <c r="D271" s="7">
        <v>40352</v>
      </c>
      <c r="E271" s="6">
        <v>40345</v>
      </c>
      <c r="F271" s="4">
        <v>1</v>
      </c>
      <c r="G271" s="4">
        <v>0</v>
      </c>
      <c r="H271" s="10">
        <v>0</v>
      </c>
      <c r="I271" s="10" t="e">
        <v>#N/A</v>
      </c>
      <c r="J271" s="34">
        <v>62310</v>
      </c>
      <c r="K271" s="35">
        <v>40352</v>
      </c>
      <c r="L271" s="35">
        <v>40330</v>
      </c>
      <c r="M271" s="42">
        <v>40345</v>
      </c>
      <c r="N271" s="35">
        <v>40330</v>
      </c>
      <c r="O271" s="32">
        <v>0</v>
      </c>
      <c r="P271" s="33">
        <v>0.125</v>
      </c>
      <c r="Q271" s="20">
        <v>1</v>
      </c>
      <c r="R271" s="20">
        <v>1.1000000000000001</v>
      </c>
      <c r="S271" s="20">
        <v>0.6</v>
      </c>
      <c r="T271" s="20">
        <v>1</v>
      </c>
      <c r="U271" s="20">
        <v>0.9</v>
      </c>
      <c r="V271" s="19">
        <v>-0.1</v>
      </c>
      <c r="W271" s="19">
        <v>0.1</v>
      </c>
      <c r="X271" s="19">
        <v>-0.7</v>
      </c>
      <c r="Y271" s="19">
        <v>0</v>
      </c>
      <c r="Z271" s="20">
        <v>3.1</v>
      </c>
      <c r="AA271" s="20">
        <v>3.6</v>
      </c>
      <c r="AB271" s="20">
        <v>2.7</v>
      </c>
      <c r="AC271" s="20">
        <v>3.2</v>
      </c>
      <c r="AD271" s="20">
        <v>3.3</v>
      </c>
      <c r="AE271" s="19">
        <v>0.2</v>
      </c>
      <c r="AF271" s="19">
        <v>0.1</v>
      </c>
      <c r="AG271" s="19">
        <v>-0.9</v>
      </c>
      <c r="AH271" s="19">
        <v>-0.6</v>
      </c>
      <c r="AI271" s="20">
        <v>9.6999999999999993</v>
      </c>
      <c r="AJ271" s="20">
        <v>9.8000000000000007</v>
      </c>
      <c r="AK271" s="20">
        <v>9.6999999999999993</v>
      </c>
      <c r="AL271" s="20">
        <v>9.5</v>
      </c>
      <c r="AM271" s="20">
        <v>9.3000000000000007</v>
      </c>
      <c r="AN271" s="19">
        <v>0</v>
      </c>
      <c r="AO271" s="19">
        <v>0.3</v>
      </c>
      <c r="AP271" s="19">
        <v>0.2</v>
      </c>
      <c r="AQ271" s="19">
        <v>0.2</v>
      </c>
    </row>
    <row r="272" spans="2:43">
      <c r="B272">
        <f t="shared" si="419"/>
        <v>2010</v>
      </c>
      <c r="C272">
        <f t="shared" si="420"/>
        <v>8</v>
      </c>
      <c r="D272" s="7">
        <v>40400</v>
      </c>
      <c r="E272" s="6">
        <v>40394</v>
      </c>
      <c r="F272" s="4">
        <v>1</v>
      </c>
      <c r="G272" s="4">
        <v>0</v>
      </c>
      <c r="H272" s="10">
        <v>0</v>
      </c>
      <c r="I272" s="10" t="e">
        <v>#N/A</v>
      </c>
      <c r="J272" s="34">
        <v>81010</v>
      </c>
      <c r="K272" s="35">
        <v>40400</v>
      </c>
      <c r="L272" s="35">
        <v>40422</v>
      </c>
      <c r="M272" s="42">
        <v>40394</v>
      </c>
      <c r="N272" s="35">
        <v>40422</v>
      </c>
      <c r="O272" s="32">
        <v>0</v>
      </c>
      <c r="P272" s="33">
        <v>0.125</v>
      </c>
      <c r="Q272" s="20">
        <v>1.8</v>
      </c>
      <c r="R272" s="20">
        <v>1.3</v>
      </c>
      <c r="S272" s="20">
        <v>0.8</v>
      </c>
      <c r="T272" s="20">
        <v>1.1000000000000001</v>
      </c>
      <c r="U272" s="20">
        <v>0.9</v>
      </c>
      <c r="V272" s="19">
        <v>0.7</v>
      </c>
      <c r="W272" s="19">
        <v>0.7</v>
      </c>
      <c r="X272" s="19">
        <v>-0.2</v>
      </c>
      <c r="Y272" s="19">
        <v>0.2</v>
      </c>
      <c r="Z272" s="20">
        <v>2.1</v>
      </c>
      <c r="AA272" s="20">
        <v>2.4</v>
      </c>
      <c r="AB272" s="20">
        <v>2.6</v>
      </c>
      <c r="AC272" s="20">
        <v>3</v>
      </c>
      <c r="AD272" s="20">
        <v>3.4</v>
      </c>
      <c r="AE272" s="19">
        <v>-1.5</v>
      </c>
      <c r="AF272" s="19">
        <v>-0.3</v>
      </c>
      <c r="AG272" s="19">
        <v>-0.6</v>
      </c>
      <c r="AH272" s="19">
        <v>-0.3</v>
      </c>
      <c r="AI272" s="20">
        <v>9.6999999999999993</v>
      </c>
      <c r="AJ272" s="20">
        <v>9.6999999999999993</v>
      </c>
      <c r="AK272" s="20">
        <v>9.6999999999999993</v>
      </c>
      <c r="AL272" s="20">
        <v>9.5</v>
      </c>
      <c r="AM272" s="20">
        <v>9.4</v>
      </c>
      <c r="AN272" s="19">
        <v>-0.1</v>
      </c>
      <c r="AO272" s="19">
        <v>0</v>
      </c>
      <c r="AP272" s="19">
        <v>0.2</v>
      </c>
      <c r="AQ272" s="19">
        <v>0.2</v>
      </c>
    </row>
    <row r="273" spans="2:43">
      <c r="B273">
        <f t="shared" si="419"/>
        <v>2010</v>
      </c>
      <c r="C273">
        <f t="shared" si="420"/>
        <v>9</v>
      </c>
      <c r="D273" s="7">
        <v>40442</v>
      </c>
      <c r="E273" s="6">
        <v>40436</v>
      </c>
      <c r="F273" s="4">
        <v>1</v>
      </c>
      <c r="G273" s="4">
        <v>0</v>
      </c>
      <c r="H273" s="10">
        <v>5.0000000000000001E-3</v>
      </c>
      <c r="I273" s="10" t="e">
        <v>#N/A</v>
      </c>
      <c r="J273" s="34">
        <v>92110</v>
      </c>
      <c r="K273" s="35">
        <v>40442</v>
      </c>
      <c r="L273" s="35">
        <v>40422</v>
      </c>
      <c r="M273" s="42">
        <v>40436</v>
      </c>
      <c r="N273" s="35">
        <v>40422</v>
      </c>
      <c r="O273" s="32">
        <v>0</v>
      </c>
      <c r="P273" s="33">
        <v>0.125</v>
      </c>
      <c r="Q273" s="20">
        <v>1.9</v>
      </c>
      <c r="R273" s="20">
        <v>1.9</v>
      </c>
      <c r="S273" s="20">
        <v>0.4</v>
      </c>
      <c r="T273" s="20">
        <v>1.2</v>
      </c>
      <c r="U273" s="20">
        <v>1</v>
      </c>
      <c r="V273" s="19">
        <v>0.1</v>
      </c>
      <c r="W273" s="19">
        <v>0.6</v>
      </c>
      <c r="X273" s="19">
        <v>-0.4</v>
      </c>
      <c r="Y273" s="19">
        <v>0.1</v>
      </c>
      <c r="Z273" s="20">
        <v>1.7</v>
      </c>
      <c r="AA273" s="20">
        <v>1.7</v>
      </c>
      <c r="AB273" s="20">
        <v>2.4</v>
      </c>
      <c r="AC273" s="20">
        <v>2.5</v>
      </c>
      <c r="AD273" s="20">
        <v>3.1</v>
      </c>
      <c r="AE273" s="19">
        <v>-0.4</v>
      </c>
      <c r="AF273" s="19">
        <v>-0.7</v>
      </c>
      <c r="AG273" s="19">
        <v>-0.2</v>
      </c>
      <c r="AH273" s="19">
        <v>-0.5</v>
      </c>
      <c r="AI273" s="20">
        <v>9.6999999999999993</v>
      </c>
      <c r="AJ273" s="20">
        <v>9.6</v>
      </c>
      <c r="AK273" s="20">
        <v>9.6999999999999993</v>
      </c>
      <c r="AL273" s="20">
        <v>9.6</v>
      </c>
      <c r="AM273" s="20">
        <v>9.5</v>
      </c>
      <c r="AN273" s="19">
        <v>0</v>
      </c>
      <c r="AO273" s="19">
        <v>-0.1</v>
      </c>
      <c r="AP273" s="19">
        <v>0</v>
      </c>
      <c r="AQ273" s="19">
        <v>0.1</v>
      </c>
    </row>
    <row r="274" spans="2:43">
      <c r="B274">
        <f t="shared" si="419"/>
        <v>2010</v>
      </c>
      <c r="C274">
        <f t="shared" si="420"/>
        <v>11</v>
      </c>
      <c r="D274" s="7">
        <v>40485</v>
      </c>
      <c r="E274" s="6">
        <v>40478</v>
      </c>
      <c r="F274" s="4">
        <v>1</v>
      </c>
      <c r="G274" s="4">
        <v>0</v>
      </c>
      <c r="H274" s="10">
        <v>5.0000000000000001E-3</v>
      </c>
      <c r="I274" s="10" t="e">
        <v>#N/A</v>
      </c>
      <c r="J274" s="34">
        <v>110310</v>
      </c>
      <c r="K274" s="35">
        <v>40485</v>
      </c>
      <c r="L274" s="35">
        <v>40513</v>
      </c>
      <c r="M274" s="42">
        <v>40478</v>
      </c>
      <c r="N274" s="35">
        <v>40513</v>
      </c>
      <c r="O274" s="32">
        <v>0</v>
      </c>
      <c r="P274" s="33">
        <v>0.125</v>
      </c>
      <c r="Q274" s="20">
        <v>2.1</v>
      </c>
      <c r="R274" s="20">
        <v>0.4</v>
      </c>
      <c r="S274" s="20">
        <v>1.2</v>
      </c>
      <c r="T274" s="20">
        <v>1.1000000000000001</v>
      </c>
      <c r="U274" s="20">
        <v>1</v>
      </c>
      <c r="V274" s="19">
        <v>0.2</v>
      </c>
      <c r="W274" s="19">
        <v>0</v>
      </c>
      <c r="X274" s="19">
        <v>0</v>
      </c>
      <c r="Y274" s="19">
        <v>0.1</v>
      </c>
      <c r="Z274" s="20">
        <v>1.7</v>
      </c>
      <c r="AA274" s="20">
        <v>2.4</v>
      </c>
      <c r="AB274" s="20">
        <v>2.7</v>
      </c>
      <c r="AC274" s="20">
        <v>3.4</v>
      </c>
      <c r="AD274" s="20">
        <v>4</v>
      </c>
      <c r="AE274" s="19">
        <v>0</v>
      </c>
      <c r="AF274" s="19">
        <v>0</v>
      </c>
      <c r="AG274" s="19">
        <v>0.2</v>
      </c>
      <c r="AH274" s="19">
        <v>0.3</v>
      </c>
      <c r="AI274" s="20">
        <v>9.6</v>
      </c>
      <c r="AJ274" s="20">
        <v>9.6999999999999993</v>
      </c>
      <c r="AK274" s="20">
        <v>9.5</v>
      </c>
      <c r="AL274" s="20">
        <v>9.5</v>
      </c>
      <c r="AM274" s="20">
        <v>9.1999999999999993</v>
      </c>
      <c r="AN274" s="19">
        <v>0</v>
      </c>
      <c r="AO274" s="19">
        <v>0</v>
      </c>
      <c r="AP274" s="19">
        <v>-0.1</v>
      </c>
      <c r="AQ274" s="19">
        <v>0</v>
      </c>
    </row>
    <row r="275" spans="2:43">
      <c r="B275">
        <f t="shared" si="419"/>
        <v>2010</v>
      </c>
      <c r="C275">
        <f t="shared" si="420"/>
        <v>12</v>
      </c>
      <c r="D275" s="7">
        <v>40526</v>
      </c>
      <c r="E275" s="6">
        <v>40520</v>
      </c>
      <c r="F275" s="4">
        <v>1</v>
      </c>
      <c r="G275" s="4">
        <v>0</v>
      </c>
      <c r="H275" s="10">
        <v>0</v>
      </c>
      <c r="I275" s="10" t="e">
        <v>#N/A</v>
      </c>
      <c r="J275" s="34">
        <v>121410</v>
      </c>
      <c r="K275" s="35">
        <v>40526</v>
      </c>
      <c r="L275" s="35">
        <v>40513</v>
      </c>
      <c r="M275" s="42">
        <v>40520</v>
      </c>
      <c r="N275" s="35">
        <v>40513</v>
      </c>
      <c r="O275" s="32">
        <v>0</v>
      </c>
      <c r="P275" s="33">
        <v>0.125</v>
      </c>
      <c r="Q275" s="20">
        <v>2.2999999999999998</v>
      </c>
      <c r="R275" s="20">
        <v>0.2</v>
      </c>
      <c r="S275" s="20">
        <v>1.2</v>
      </c>
      <c r="T275" s="20">
        <v>0.9</v>
      </c>
      <c r="U275" s="20">
        <v>0.8</v>
      </c>
      <c r="V275" s="19">
        <v>0.2</v>
      </c>
      <c r="W275" s="19">
        <v>-0.2</v>
      </c>
      <c r="X275" s="19">
        <v>0</v>
      </c>
      <c r="Y275" s="19">
        <v>-0.2</v>
      </c>
      <c r="Z275" s="20">
        <v>2.7</v>
      </c>
      <c r="AA275" s="20">
        <v>2.5</v>
      </c>
      <c r="AB275" s="20">
        <v>3.4</v>
      </c>
      <c r="AC275" s="20">
        <v>3.5</v>
      </c>
      <c r="AD275" s="20">
        <v>3.7</v>
      </c>
      <c r="AE275" s="19">
        <v>1</v>
      </c>
      <c r="AF275" s="19">
        <v>0.1</v>
      </c>
      <c r="AG275" s="19">
        <v>0.7</v>
      </c>
      <c r="AH275" s="19">
        <v>0.1</v>
      </c>
      <c r="AI275" s="20">
        <v>9.6</v>
      </c>
      <c r="AJ275" s="20">
        <v>9.6999999999999993</v>
      </c>
      <c r="AK275" s="20">
        <v>9.5</v>
      </c>
      <c r="AL275" s="20">
        <v>9.4</v>
      </c>
      <c r="AM275" s="20">
        <v>9.1</v>
      </c>
      <c r="AN275" s="19">
        <v>0</v>
      </c>
      <c r="AO275" s="19">
        <v>0</v>
      </c>
      <c r="AP275" s="19">
        <v>0</v>
      </c>
      <c r="AQ275" s="19">
        <v>-0.1</v>
      </c>
    </row>
    <row r="276" spans="2:43">
      <c r="B276">
        <f t="shared" si="419"/>
        <v>2011</v>
      </c>
      <c r="C276">
        <f t="shared" si="420"/>
        <v>1</v>
      </c>
      <c r="D276" s="7">
        <v>40569</v>
      </c>
      <c r="E276" s="6">
        <v>40562</v>
      </c>
      <c r="F276" s="4">
        <v>1</v>
      </c>
      <c r="G276" s="4">
        <v>0</v>
      </c>
      <c r="H276" s="10">
        <v>-5.0000000000000001E-3</v>
      </c>
      <c r="I276" s="10" t="e">
        <v>#N/A</v>
      </c>
      <c r="J276" s="34">
        <v>12611</v>
      </c>
      <c r="K276" s="35">
        <v>40569</v>
      </c>
      <c r="L276" s="35">
        <v>40603</v>
      </c>
      <c r="M276" s="42">
        <v>40562</v>
      </c>
      <c r="N276" s="35">
        <v>40603</v>
      </c>
      <c r="O276" s="32">
        <v>0</v>
      </c>
      <c r="P276" s="33">
        <v>0.125</v>
      </c>
      <c r="Q276" s="20">
        <v>0</v>
      </c>
      <c r="R276" s="20">
        <v>2</v>
      </c>
      <c r="S276" s="20">
        <v>1</v>
      </c>
      <c r="T276" s="20">
        <v>1</v>
      </c>
      <c r="U276" s="20">
        <v>0.9</v>
      </c>
      <c r="V276" s="19">
        <v>-0.2</v>
      </c>
      <c r="W276" s="19">
        <v>0.8</v>
      </c>
      <c r="X276" s="19">
        <v>0.1</v>
      </c>
      <c r="Y276" s="19">
        <v>0.2</v>
      </c>
      <c r="Z276" s="20">
        <v>3.8</v>
      </c>
      <c r="AA276" s="20">
        <v>3.6</v>
      </c>
      <c r="AB276" s="20">
        <v>3.7</v>
      </c>
      <c r="AC276" s="20">
        <v>3.8</v>
      </c>
      <c r="AD276" s="20">
        <v>4.2</v>
      </c>
      <c r="AE276" s="19">
        <v>1.3</v>
      </c>
      <c r="AF276" s="19">
        <v>0.2</v>
      </c>
      <c r="AG276" s="19">
        <v>0.2</v>
      </c>
      <c r="AH276" s="19">
        <v>0.1</v>
      </c>
      <c r="AI276" s="20">
        <v>9.6</v>
      </c>
      <c r="AJ276" s="20">
        <v>9.5</v>
      </c>
      <c r="AK276" s="20">
        <v>9.3000000000000007</v>
      </c>
      <c r="AL276" s="20">
        <v>9.1</v>
      </c>
      <c r="AM276" s="20">
        <v>8.9</v>
      </c>
      <c r="AN276" s="19">
        <v>-0.1</v>
      </c>
      <c r="AO276" s="19">
        <v>0</v>
      </c>
      <c r="AP276" s="19">
        <v>-0.1</v>
      </c>
      <c r="AQ276" s="19">
        <v>0</v>
      </c>
    </row>
    <row r="277" spans="2:43">
      <c r="B277">
        <f t="shared" si="419"/>
        <v>2011</v>
      </c>
      <c r="C277">
        <f t="shared" si="420"/>
        <v>3</v>
      </c>
      <c r="D277" s="7">
        <v>40617</v>
      </c>
      <c r="E277" s="6">
        <v>40611</v>
      </c>
      <c r="F277" s="4">
        <v>1</v>
      </c>
      <c r="G277" s="4">
        <v>0</v>
      </c>
      <c r="H277" s="10">
        <v>0</v>
      </c>
      <c r="I277" s="10" t="e">
        <v>#N/A</v>
      </c>
      <c r="J277" s="34">
        <v>31511</v>
      </c>
      <c r="K277" s="35">
        <v>40617</v>
      </c>
      <c r="L277" s="35">
        <v>40603</v>
      </c>
      <c r="M277" s="42">
        <v>40611</v>
      </c>
      <c r="N277" s="35">
        <v>40603</v>
      </c>
      <c r="O277" s="32">
        <v>0</v>
      </c>
      <c r="P277" s="33">
        <v>0.125</v>
      </c>
      <c r="Q277" s="20">
        <v>0.4</v>
      </c>
      <c r="R277" s="20">
        <v>1.6</v>
      </c>
      <c r="S277" s="20">
        <v>2.4</v>
      </c>
      <c r="T277" s="20">
        <v>1</v>
      </c>
      <c r="U277" s="20">
        <v>1</v>
      </c>
      <c r="V277" s="19">
        <v>0.4</v>
      </c>
      <c r="W277" s="19">
        <v>-0.4</v>
      </c>
      <c r="X277" s="19">
        <v>1.4</v>
      </c>
      <c r="Y277" s="19">
        <v>0</v>
      </c>
      <c r="Z277" s="20">
        <v>3.2</v>
      </c>
      <c r="AA277" s="20">
        <v>3.2</v>
      </c>
      <c r="AB277" s="20">
        <v>3.8</v>
      </c>
      <c r="AC277" s="20">
        <v>3.9</v>
      </c>
      <c r="AD277" s="20">
        <v>4</v>
      </c>
      <c r="AE277" s="19">
        <v>-0.6</v>
      </c>
      <c r="AF277" s="19">
        <v>-0.4</v>
      </c>
      <c r="AG277" s="19">
        <v>0.1</v>
      </c>
      <c r="AH277" s="19">
        <v>0.1</v>
      </c>
      <c r="AI277" s="20">
        <v>9.6</v>
      </c>
      <c r="AJ277" s="20">
        <v>9</v>
      </c>
      <c r="AK277" s="20">
        <v>8.9</v>
      </c>
      <c r="AL277" s="20">
        <v>8.6999999999999993</v>
      </c>
      <c r="AM277" s="20">
        <v>8.6</v>
      </c>
      <c r="AN277" s="19">
        <v>0</v>
      </c>
      <c r="AO277" s="19">
        <v>-0.5</v>
      </c>
      <c r="AP277" s="19">
        <v>-0.4</v>
      </c>
      <c r="AQ277" s="19">
        <v>-0.4</v>
      </c>
    </row>
    <row r="278" spans="2:43">
      <c r="B278">
        <f t="shared" si="419"/>
        <v>2011</v>
      </c>
      <c r="C278">
        <f t="shared" si="420"/>
        <v>4</v>
      </c>
      <c r="D278" s="7">
        <v>40660</v>
      </c>
      <c r="E278" s="6">
        <v>40653</v>
      </c>
      <c r="F278" s="4">
        <v>1</v>
      </c>
      <c r="G278" s="4">
        <v>0</v>
      </c>
      <c r="H278" s="10">
        <v>-5.0000000000000001E-3</v>
      </c>
      <c r="I278" s="10" t="e">
        <v>#N/A</v>
      </c>
      <c r="J278" s="34">
        <v>42711</v>
      </c>
      <c r="K278" s="35">
        <v>40660</v>
      </c>
      <c r="L278" s="35">
        <v>40695</v>
      </c>
      <c r="M278" s="42">
        <v>40653</v>
      </c>
      <c r="N278" s="35">
        <v>40695</v>
      </c>
      <c r="O278" s="32">
        <v>0</v>
      </c>
      <c r="P278" s="33">
        <v>0.125</v>
      </c>
      <c r="Q278" s="20">
        <v>1.9</v>
      </c>
      <c r="R278" s="20">
        <v>2.9</v>
      </c>
      <c r="S278" s="20">
        <v>1.2</v>
      </c>
      <c r="T278" s="20">
        <v>1.2</v>
      </c>
      <c r="U278" s="20">
        <v>1.5</v>
      </c>
      <c r="V278" s="19">
        <v>0.3</v>
      </c>
      <c r="W278" s="19">
        <v>0.5</v>
      </c>
      <c r="X278" s="19">
        <v>0.2</v>
      </c>
      <c r="Y278" s="19">
        <v>0.2</v>
      </c>
      <c r="Z278" s="20">
        <v>1.7</v>
      </c>
      <c r="AA278" s="20">
        <v>3.1</v>
      </c>
      <c r="AB278" s="20">
        <v>4.0999999999999996</v>
      </c>
      <c r="AC278" s="20">
        <v>3.8</v>
      </c>
      <c r="AD278" s="20">
        <v>4</v>
      </c>
      <c r="AE278" s="19">
        <v>-1.5</v>
      </c>
      <c r="AF278" s="19">
        <v>-0.7</v>
      </c>
      <c r="AG278" s="19">
        <v>0.2</v>
      </c>
      <c r="AH278" s="19">
        <v>-0.2</v>
      </c>
      <c r="AI278" s="20">
        <v>8.9</v>
      </c>
      <c r="AJ278" s="20">
        <v>8.9</v>
      </c>
      <c r="AK278" s="20">
        <v>8.8000000000000007</v>
      </c>
      <c r="AL278" s="20">
        <v>8.6999999999999993</v>
      </c>
      <c r="AM278" s="20">
        <v>8.5</v>
      </c>
      <c r="AN278" s="19">
        <v>-0.1</v>
      </c>
      <c r="AO278" s="19">
        <v>0</v>
      </c>
      <c r="AP278" s="19">
        <v>0.1</v>
      </c>
      <c r="AQ278" s="19">
        <v>0.1</v>
      </c>
    </row>
    <row r="279" spans="2:43">
      <c r="B279">
        <f t="shared" si="419"/>
        <v>2011</v>
      </c>
      <c r="C279">
        <f t="shared" si="420"/>
        <v>6</v>
      </c>
      <c r="D279" s="7">
        <v>40716</v>
      </c>
      <c r="E279" s="6">
        <v>40709</v>
      </c>
      <c r="F279" s="4">
        <v>1</v>
      </c>
      <c r="G279" s="4">
        <v>0</v>
      </c>
      <c r="H279" s="10">
        <v>-5.0000000000000001E-3</v>
      </c>
      <c r="I279" s="10" t="e">
        <v>#N/A</v>
      </c>
      <c r="J279" s="34">
        <v>62211</v>
      </c>
      <c r="K279" s="35">
        <v>40716</v>
      </c>
      <c r="L279" s="35">
        <v>40695</v>
      </c>
      <c r="M279" s="42">
        <v>40709</v>
      </c>
      <c r="N279" s="35">
        <v>40695</v>
      </c>
      <c r="O279" s="32">
        <v>0</v>
      </c>
      <c r="P279" s="33">
        <v>0.125</v>
      </c>
      <c r="Q279" s="20">
        <v>2</v>
      </c>
      <c r="R279" s="20">
        <v>3.8</v>
      </c>
      <c r="S279" s="20">
        <v>1.6</v>
      </c>
      <c r="T279" s="20">
        <v>1.3</v>
      </c>
      <c r="U279" s="20">
        <v>1.6</v>
      </c>
      <c r="V279" s="19">
        <v>0.1</v>
      </c>
      <c r="W279" s="19">
        <v>0.9</v>
      </c>
      <c r="X279" s="19">
        <v>0.4</v>
      </c>
      <c r="Y279" s="19">
        <v>0.1</v>
      </c>
      <c r="Z279" s="20">
        <v>2.1</v>
      </c>
      <c r="AA279" s="20">
        <v>1.9</v>
      </c>
      <c r="AB279" s="20">
        <v>3.9</v>
      </c>
      <c r="AC279" s="20">
        <v>2.9</v>
      </c>
      <c r="AD279" s="20">
        <v>3.1</v>
      </c>
      <c r="AE279" s="19">
        <v>0.4</v>
      </c>
      <c r="AF279" s="19">
        <v>-1.2</v>
      </c>
      <c r="AG279" s="19">
        <v>-0.2</v>
      </c>
      <c r="AH279" s="19">
        <v>-0.9</v>
      </c>
      <c r="AI279" s="20">
        <v>8.9</v>
      </c>
      <c r="AJ279" s="20">
        <v>9</v>
      </c>
      <c r="AK279" s="20">
        <v>9</v>
      </c>
      <c r="AL279" s="20">
        <v>8.9</v>
      </c>
      <c r="AM279" s="20">
        <v>8.8000000000000007</v>
      </c>
      <c r="AN279" s="19">
        <v>0</v>
      </c>
      <c r="AO279" s="19">
        <v>0.1</v>
      </c>
      <c r="AP279" s="19">
        <v>0.2</v>
      </c>
      <c r="AQ279" s="19">
        <v>0.2</v>
      </c>
    </row>
    <row r="280" spans="2:43">
      <c r="B280">
        <f t="shared" si="419"/>
        <v>2011</v>
      </c>
      <c r="C280">
        <f t="shared" si="420"/>
        <v>8</v>
      </c>
      <c r="D280" s="7">
        <v>40764</v>
      </c>
      <c r="E280" s="6">
        <v>40758</v>
      </c>
      <c r="F280" s="4">
        <v>1</v>
      </c>
      <c r="G280" s="4">
        <v>0</v>
      </c>
      <c r="H280" s="10">
        <v>-5.0000000000000001E-3</v>
      </c>
      <c r="I280" s="10" t="e">
        <v>#N/A</v>
      </c>
      <c r="J280" s="34">
        <v>80911</v>
      </c>
      <c r="K280" s="35">
        <v>40764</v>
      </c>
      <c r="L280" s="35">
        <v>40787</v>
      </c>
      <c r="M280" s="42">
        <v>40758</v>
      </c>
      <c r="N280" s="35">
        <v>40787</v>
      </c>
      <c r="O280" s="32">
        <v>0</v>
      </c>
      <c r="P280" s="33">
        <v>0.125</v>
      </c>
      <c r="Q280" s="20">
        <v>2.2999999999999998</v>
      </c>
      <c r="R280" s="20">
        <v>2.1</v>
      </c>
      <c r="S280" s="20">
        <v>1.2</v>
      </c>
      <c r="T280" s="20">
        <v>0.7</v>
      </c>
      <c r="U280" s="20">
        <v>2.9</v>
      </c>
      <c r="V280" s="19">
        <v>-1.5</v>
      </c>
      <c r="W280" s="19">
        <v>0.5</v>
      </c>
      <c r="X280" s="19">
        <v>-0.1</v>
      </c>
      <c r="Y280" s="19">
        <v>-0.9</v>
      </c>
      <c r="Z280" s="20">
        <v>1.4</v>
      </c>
      <c r="AA280" s="20">
        <v>2.9</v>
      </c>
      <c r="AB280" s="20">
        <v>2.4</v>
      </c>
      <c r="AC280" s="20">
        <v>2.4</v>
      </c>
      <c r="AD280" s="20">
        <v>2.9</v>
      </c>
      <c r="AE280" s="19">
        <v>-0.5</v>
      </c>
      <c r="AF280" s="19">
        <v>-1</v>
      </c>
      <c r="AG280" s="19">
        <v>-0.5</v>
      </c>
      <c r="AH280" s="19">
        <v>-0.7</v>
      </c>
      <c r="AI280" s="20">
        <v>9.1</v>
      </c>
      <c r="AJ280" s="20">
        <v>9.1999999999999993</v>
      </c>
      <c r="AK280" s="20">
        <v>9.1999999999999993</v>
      </c>
      <c r="AL280" s="20">
        <v>9.1</v>
      </c>
      <c r="AM280" s="20">
        <v>8.9</v>
      </c>
      <c r="AN280" s="19">
        <v>0.1</v>
      </c>
      <c r="AO280" s="19">
        <v>0.2</v>
      </c>
      <c r="AP280" s="19">
        <v>0.3</v>
      </c>
      <c r="AQ280" s="19">
        <v>0.3</v>
      </c>
    </row>
    <row r="281" spans="2:43">
      <c r="B281">
        <f t="shared" si="419"/>
        <v>2011</v>
      </c>
      <c r="C281">
        <f t="shared" si="420"/>
        <v>9</v>
      </c>
      <c r="D281" s="7">
        <v>40807</v>
      </c>
      <c r="E281" s="6">
        <v>40800</v>
      </c>
      <c r="F281" s="4">
        <v>1</v>
      </c>
      <c r="G281" s="4">
        <v>0</v>
      </c>
      <c r="H281" s="10">
        <v>0.02</v>
      </c>
      <c r="I281" s="10" t="e">
        <v>#N/A</v>
      </c>
      <c r="J281" s="34">
        <v>92111</v>
      </c>
      <c r="K281" s="35">
        <v>40807</v>
      </c>
      <c r="L281" s="35">
        <v>40787</v>
      </c>
      <c r="M281" s="42">
        <v>40800</v>
      </c>
      <c r="N281" s="35">
        <v>40787</v>
      </c>
      <c r="O281" s="32">
        <v>0</v>
      </c>
      <c r="P281" s="33">
        <v>0.125</v>
      </c>
      <c r="Q281" s="20">
        <v>2.4</v>
      </c>
      <c r="R281" s="20">
        <v>2.8</v>
      </c>
      <c r="S281" s="20">
        <v>1.8</v>
      </c>
      <c r="T281" s="20">
        <v>0.7</v>
      </c>
      <c r="U281" s="20">
        <v>2.1</v>
      </c>
      <c r="V281" s="19">
        <v>0.1</v>
      </c>
      <c r="W281" s="19">
        <v>0.7</v>
      </c>
      <c r="X281" s="19">
        <v>0.6</v>
      </c>
      <c r="Y281" s="19">
        <v>0</v>
      </c>
      <c r="Z281" s="20">
        <v>1.2</v>
      </c>
      <c r="AA281" s="20">
        <v>2.5</v>
      </c>
      <c r="AB281" s="20">
        <v>2</v>
      </c>
      <c r="AC281" s="20">
        <v>2.2000000000000002</v>
      </c>
      <c r="AD281" s="20">
        <v>2.2999999999999998</v>
      </c>
      <c r="AE281" s="19">
        <v>-0.2</v>
      </c>
      <c r="AF281" s="19">
        <v>-0.4</v>
      </c>
      <c r="AG281" s="19">
        <v>-0.4</v>
      </c>
      <c r="AH281" s="19">
        <v>-0.2</v>
      </c>
      <c r="AI281" s="20">
        <v>9.1</v>
      </c>
      <c r="AJ281" s="20">
        <v>9.1</v>
      </c>
      <c r="AK281" s="20">
        <v>9.1</v>
      </c>
      <c r="AL281" s="20">
        <v>9.1</v>
      </c>
      <c r="AM281" s="20">
        <v>9</v>
      </c>
      <c r="AN281" s="19">
        <v>0</v>
      </c>
      <c r="AO281" s="19">
        <v>-0.1</v>
      </c>
      <c r="AP281" s="19">
        <v>-0.1</v>
      </c>
      <c r="AQ281" s="19">
        <v>0</v>
      </c>
    </row>
    <row r="282" spans="2:43">
      <c r="B282">
        <f t="shared" si="419"/>
        <v>2011</v>
      </c>
      <c r="C282">
        <f t="shared" si="420"/>
        <v>11</v>
      </c>
      <c r="D282" s="7">
        <v>40849</v>
      </c>
      <c r="E282" s="6">
        <v>40842</v>
      </c>
      <c r="F282" s="4">
        <v>1</v>
      </c>
      <c r="G282" s="4">
        <v>0</v>
      </c>
      <c r="H282" s="10">
        <v>0.01</v>
      </c>
      <c r="I282" s="10" t="e">
        <v>#N/A</v>
      </c>
      <c r="J282" s="34">
        <v>110211</v>
      </c>
      <c r="K282" s="35">
        <v>40849</v>
      </c>
      <c r="L282" s="35">
        <v>40878</v>
      </c>
      <c r="M282" s="42">
        <v>40842</v>
      </c>
      <c r="N282" s="35">
        <v>40878</v>
      </c>
      <c r="O282" s="32">
        <v>0</v>
      </c>
      <c r="P282" s="33">
        <v>0.125</v>
      </c>
      <c r="Q282" s="20">
        <v>2.5</v>
      </c>
      <c r="R282" s="20">
        <v>1.4</v>
      </c>
      <c r="S282" s="20">
        <v>1.1000000000000001</v>
      </c>
      <c r="T282" s="20">
        <v>2.4</v>
      </c>
      <c r="U282" s="20">
        <v>1.4</v>
      </c>
      <c r="V282" s="19">
        <v>-0.3</v>
      </c>
      <c r="W282" s="19">
        <v>-0.4</v>
      </c>
      <c r="X282" s="19">
        <v>0.4</v>
      </c>
      <c r="Y282" s="19">
        <v>0.3</v>
      </c>
      <c r="Z282" s="20">
        <v>2.7</v>
      </c>
      <c r="AA282" s="20">
        <v>2.5</v>
      </c>
      <c r="AB282" s="20">
        <v>2.4</v>
      </c>
      <c r="AC282" s="20">
        <v>2.5</v>
      </c>
      <c r="AD282" s="20">
        <v>2.6</v>
      </c>
      <c r="AE282" s="19">
        <v>0.2</v>
      </c>
      <c r="AF282" s="19">
        <v>0.5</v>
      </c>
      <c r="AG282" s="19">
        <v>0.2</v>
      </c>
      <c r="AH282" s="19">
        <v>0.2</v>
      </c>
      <c r="AI282" s="20">
        <v>9.1</v>
      </c>
      <c r="AJ282" s="20">
        <v>9.1</v>
      </c>
      <c r="AK282" s="20">
        <v>9</v>
      </c>
      <c r="AL282" s="20">
        <v>8.9</v>
      </c>
      <c r="AM282" s="20">
        <v>8.8000000000000007</v>
      </c>
      <c r="AN282" s="19">
        <v>0</v>
      </c>
      <c r="AO282" s="19">
        <v>0</v>
      </c>
      <c r="AP282" s="19">
        <v>-0.1</v>
      </c>
      <c r="AQ282" s="19">
        <v>-0.1</v>
      </c>
    </row>
    <row r="283" spans="2:43">
      <c r="B283">
        <f t="shared" si="419"/>
        <v>2011</v>
      </c>
      <c r="C283">
        <f t="shared" si="420"/>
        <v>12</v>
      </c>
      <c r="D283" s="7">
        <v>40890</v>
      </c>
      <c r="E283" s="6">
        <v>40884</v>
      </c>
      <c r="F283" s="4">
        <v>1</v>
      </c>
      <c r="G283" s="4">
        <v>0</v>
      </c>
      <c r="H283" s="10">
        <v>0</v>
      </c>
      <c r="I283" s="10" t="e">
        <v>#N/A</v>
      </c>
      <c r="J283" s="34">
        <v>121311</v>
      </c>
      <c r="K283" s="35">
        <v>40890</v>
      </c>
      <c r="L283" s="35">
        <v>40878</v>
      </c>
      <c r="M283" s="42">
        <v>40884</v>
      </c>
      <c r="N283" s="35">
        <v>40878</v>
      </c>
      <c r="O283" s="32">
        <v>0</v>
      </c>
      <c r="P283" s="33">
        <v>0.125</v>
      </c>
      <c r="Q283" s="20">
        <v>2.5</v>
      </c>
      <c r="R283" s="20">
        <v>1</v>
      </c>
      <c r="S283" s="20">
        <v>1.7</v>
      </c>
      <c r="T283" s="20">
        <v>1.6</v>
      </c>
      <c r="U283" s="20">
        <v>1.6</v>
      </c>
      <c r="V283" s="19">
        <v>0</v>
      </c>
      <c r="W283" s="19">
        <v>-0.4</v>
      </c>
      <c r="X283" s="19">
        <v>0.6</v>
      </c>
      <c r="Y283" s="19">
        <v>-0.8</v>
      </c>
      <c r="Z283" s="20">
        <v>1.9</v>
      </c>
      <c r="AA283" s="20">
        <v>3.2</v>
      </c>
      <c r="AB283" s="20">
        <v>2.1</v>
      </c>
      <c r="AC283" s="20">
        <v>1.9</v>
      </c>
      <c r="AD283" s="20">
        <v>2.5</v>
      </c>
      <c r="AE283" s="19">
        <v>-0.8</v>
      </c>
      <c r="AF283" s="19">
        <v>0.7</v>
      </c>
      <c r="AG283" s="19">
        <v>-0.3</v>
      </c>
      <c r="AH283" s="19">
        <v>-0.6</v>
      </c>
      <c r="AI283" s="20">
        <v>9.1</v>
      </c>
      <c r="AJ283" s="20">
        <v>8.8000000000000007</v>
      </c>
      <c r="AK283" s="20">
        <v>8.8000000000000007</v>
      </c>
      <c r="AL283" s="20">
        <v>8.8000000000000007</v>
      </c>
      <c r="AM283" s="20">
        <v>8.6999999999999993</v>
      </c>
      <c r="AN283" s="19">
        <v>0</v>
      </c>
      <c r="AO283" s="19">
        <v>-0.3</v>
      </c>
      <c r="AP283" s="19">
        <v>-0.2</v>
      </c>
      <c r="AQ283" s="19">
        <v>-0.1</v>
      </c>
    </row>
    <row r="284" spans="2:43">
      <c r="B284">
        <f t="shared" si="419"/>
        <v>2012</v>
      </c>
      <c r="C284">
        <f t="shared" si="420"/>
        <v>1</v>
      </c>
      <c r="D284" s="7">
        <v>40933</v>
      </c>
      <c r="E284" s="4" t="e">
        <f>NA()</f>
        <v>#N/A</v>
      </c>
      <c r="F284" s="4">
        <v>1</v>
      </c>
      <c r="G284" s="4">
        <v>0</v>
      </c>
      <c r="H284" s="10">
        <v>0</v>
      </c>
      <c r="I284" s="10" t="e">
        <v>#N/A</v>
      </c>
      <c r="J284" s="34">
        <v>12512</v>
      </c>
      <c r="K284" s="35">
        <v>40933</v>
      </c>
      <c r="L284" s="35">
        <v>40969</v>
      </c>
      <c r="M284" s="43" t="e">
        <f>NA()</f>
        <v>#N/A</v>
      </c>
      <c r="N284" s="43" t="e">
        <f>NA()</f>
        <v>#N/A</v>
      </c>
      <c r="O284" s="43" t="e">
        <f>NA()</f>
        <v>#N/A</v>
      </c>
      <c r="P284" s="43" t="e">
        <f>NA()</f>
        <v>#N/A</v>
      </c>
      <c r="Q284" s="43" t="e">
        <f>NA()</f>
        <v>#N/A</v>
      </c>
      <c r="R284" s="43" t="e">
        <f>NA()</f>
        <v>#N/A</v>
      </c>
      <c r="S284" s="43" t="e">
        <f>NA()</f>
        <v>#N/A</v>
      </c>
      <c r="T284" s="43" t="e">
        <f>NA()</f>
        <v>#N/A</v>
      </c>
      <c r="U284" s="43" t="e">
        <f>NA()</f>
        <v>#N/A</v>
      </c>
      <c r="V284" s="43" t="e">
        <f>NA()</f>
        <v>#N/A</v>
      </c>
      <c r="W284" s="43" t="e">
        <f>NA()</f>
        <v>#N/A</v>
      </c>
      <c r="X284" s="43" t="e">
        <f>NA()</f>
        <v>#N/A</v>
      </c>
      <c r="Y284" s="43" t="e">
        <f>NA()</f>
        <v>#N/A</v>
      </c>
      <c r="Z284" s="43" t="e">
        <f>NA()</f>
        <v>#N/A</v>
      </c>
      <c r="AA284" s="43" t="e">
        <f>NA()</f>
        <v>#N/A</v>
      </c>
      <c r="AB284" s="43" t="e">
        <f>NA()</f>
        <v>#N/A</v>
      </c>
      <c r="AC284" s="43" t="e">
        <f>NA()</f>
        <v>#N/A</v>
      </c>
      <c r="AD284" s="43" t="e">
        <f>NA()</f>
        <v>#N/A</v>
      </c>
      <c r="AE284" s="43" t="e">
        <f>NA()</f>
        <v>#N/A</v>
      </c>
      <c r="AF284" s="43" t="e">
        <f>NA()</f>
        <v>#N/A</v>
      </c>
      <c r="AG284" s="43" t="e">
        <f>NA()</f>
        <v>#N/A</v>
      </c>
      <c r="AH284" s="43" t="e">
        <f>NA()</f>
        <v>#N/A</v>
      </c>
      <c r="AI284" s="43" t="e">
        <f>NA()</f>
        <v>#N/A</v>
      </c>
      <c r="AJ284" s="43" t="e">
        <f>NA()</f>
        <v>#N/A</v>
      </c>
      <c r="AK284" s="43" t="e">
        <f>NA()</f>
        <v>#N/A</v>
      </c>
      <c r="AL284" s="43" t="e">
        <f>NA()</f>
        <v>#N/A</v>
      </c>
      <c r="AM284" s="43" t="e">
        <f>NA()</f>
        <v>#N/A</v>
      </c>
      <c r="AN284" s="43" t="e">
        <f>NA()</f>
        <v>#N/A</v>
      </c>
      <c r="AO284" s="43" t="e">
        <f>NA()</f>
        <v>#N/A</v>
      </c>
      <c r="AP284" s="43" t="e">
        <f>NA()</f>
        <v>#N/A</v>
      </c>
      <c r="AQ284" s="43" t="e">
        <f>NA()</f>
        <v>#N/A</v>
      </c>
    </row>
    <row r="285" spans="2:43">
      <c r="B285">
        <f t="shared" si="419"/>
        <v>2012</v>
      </c>
      <c r="C285">
        <f t="shared" si="420"/>
        <v>3</v>
      </c>
      <c r="D285" s="7">
        <v>40981</v>
      </c>
      <c r="E285" s="4" t="e">
        <f>NA()</f>
        <v>#N/A</v>
      </c>
      <c r="F285" s="4">
        <v>1</v>
      </c>
      <c r="G285" s="4">
        <v>0</v>
      </c>
      <c r="H285" s="10">
        <v>0</v>
      </c>
      <c r="I285" s="10" t="e">
        <v>#N/A</v>
      </c>
      <c r="J285" s="34">
        <v>31312</v>
      </c>
      <c r="K285" s="35">
        <v>40981</v>
      </c>
      <c r="L285" s="35">
        <v>40969</v>
      </c>
      <c r="M285" s="43" t="e">
        <f>NA()</f>
        <v>#N/A</v>
      </c>
      <c r="N285" s="43" t="e">
        <f>NA()</f>
        <v>#N/A</v>
      </c>
      <c r="O285" s="43" t="e">
        <f>NA()</f>
        <v>#N/A</v>
      </c>
      <c r="P285" s="43" t="e">
        <f>NA()</f>
        <v>#N/A</v>
      </c>
      <c r="Q285" s="43" t="e">
        <f>NA()</f>
        <v>#N/A</v>
      </c>
      <c r="R285" s="43" t="e">
        <f>NA()</f>
        <v>#N/A</v>
      </c>
      <c r="S285" s="43" t="e">
        <f>NA()</f>
        <v>#N/A</v>
      </c>
      <c r="T285" s="43" t="e">
        <f>NA()</f>
        <v>#N/A</v>
      </c>
      <c r="U285" s="43" t="e">
        <f>NA()</f>
        <v>#N/A</v>
      </c>
      <c r="V285" s="43" t="e">
        <f>NA()</f>
        <v>#N/A</v>
      </c>
      <c r="W285" s="43" t="e">
        <f>NA()</f>
        <v>#N/A</v>
      </c>
      <c r="X285" s="43" t="e">
        <f>NA()</f>
        <v>#N/A</v>
      </c>
      <c r="Y285" s="43" t="e">
        <f>NA()</f>
        <v>#N/A</v>
      </c>
      <c r="Z285" s="43" t="e">
        <f>NA()</f>
        <v>#N/A</v>
      </c>
      <c r="AA285" s="43" t="e">
        <f>NA()</f>
        <v>#N/A</v>
      </c>
      <c r="AB285" s="43" t="e">
        <f>NA()</f>
        <v>#N/A</v>
      </c>
      <c r="AC285" s="43" t="e">
        <f>NA()</f>
        <v>#N/A</v>
      </c>
      <c r="AD285" s="43" t="e">
        <f>NA()</f>
        <v>#N/A</v>
      </c>
      <c r="AE285" s="43" t="e">
        <f>NA()</f>
        <v>#N/A</v>
      </c>
      <c r="AF285" s="43" t="e">
        <f>NA()</f>
        <v>#N/A</v>
      </c>
      <c r="AG285" s="43" t="e">
        <f>NA()</f>
        <v>#N/A</v>
      </c>
      <c r="AH285" s="43" t="e">
        <f>NA()</f>
        <v>#N/A</v>
      </c>
      <c r="AI285" s="43" t="e">
        <f>NA()</f>
        <v>#N/A</v>
      </c>
      <c r="AJ285" s="43" t="e">
        <f>NA()</f>
        <v>#N/A</v>
      </c>
      <c r="AK285" s="43" t="e">
        <f>NA()</f>
        <v>#N/A</v>
      </c>
      <c r="AL285" s="43" t="e">
        <f>NA()</f>
        <v>#N/A</v>
      </c>
      <c r="AM285" s="43" t="e">
        <f>NA()</f>
        <v>#N/A</v>
      </c>
      <c r="AN285" s="43" t="e">
        <f>NA()</f>
        <v>#N/A</v>
      </c>
      <c r="AO285" s="43" t="e">
        <f>NA()</f>
        <v>#N/A</v>
      </c>
      <c r="AP285" s="43" t="e">
        <f>NA()</f>
        <v>#N/A</v>
      </c>
      <c r="AQ285" s="43" t="e">
        <f>NA()</f>
        <v>#N/A</v>
      </c>
    </row>
    <row r="286" spans="2:43">
      <c r="B286">
        <f t="shared" si="419"/>
        <v>2012</v>
      </c>
      <c r="C286">
        <f t="shared" si="420"/>
        <v>4</v>
      </c>
      <c r="D286" s="7">
        <v>41024</v>
      </c>
      <c r="E286" s="4" t="e">
        <f>NA()</f>
        <v>#N/A</v>
      </c>
      <c r="F286" s="4">
        <v>1</v>
      </c>
      <c r="G286" s="4">
        <v>0</v>
      </c>
      <c r="H286" s="10">
        <v>0</v>
      </c>
      <c r="I286" s="10" t="e">
        <v>#N/A</v>
      </c>
      <c r="J286" s="34">
        <v>42512</v>
      </c>
      <c r="K286" s="35">
        <v>41024</v>
      </c>
      <c r="L286" s="35">
        <v>41061</v>
      </c>
      <c r="M286" s="43" t="e">
        <f>NA()</f>
        <v>#N/A</v>
      </c>
      <c r="N286" s="43" t="e">
        <f>NA()</f>
        <v>#N/A</v>
      </c>
      <c r="O286" s="43" t="e">
        <f>NA()</f>
        <v>#N/A</v>
      </c>
      <c r="P286" s="43" t="e">
        <f>NA()</f>
        <v>#N/A</v>
      </c>
      <c r="Q286" s="43" t="e">
        <f>NA()</f>
        <v>#N/A</v>
      </c>
      <c r="R286" s="43" t="e">
        <f>NA()</f>
        <v>#N/A</v>
      </c>
      <c r="S286" s="43" t="e">
        <f>NA()</f>
        <v>#N/A</v>
      </c>
      <c r="T286" s="43" t="e">
        <f>NA()</f>
        <v>#N/A</v>
      </c>
      <c r="U286" s="43" t="e">
        <f>NA()</f>
        <v>#N/A</v>
      </c>
      <c r="V286" s="43" t="e">
        <f>NA()</f>
        <v>#N/A</v>
      </c>
      <c r="W286" s="43" t="e">
        <f>NA()</f>
        <v>#N/A</v>
      </c>
      <c r="X286" s="43" t="e">
        <f>NA()</f>
        <v>#N/A</v>
      </c>
      <c r="Y286" s="43" t="e">
        <f>NA()</f>
        <v>#N/A</v>
      </c>
      <c r="Z286" s="43" t="e">
        <f>NA()</f>
        <v>#N/A</v>
      </c>
      <c r="AA286" s="43" t="e">
        <f>NA()</f>
        <v>#N/A</v>
      </c>
      <c r="AB286" s="43" t="e">
        <f>NA()</f>
        <v>#N/A</v>
      </c>
      <c r="AC286" s="43" t="e">
        <f>NA()</f>
        <v>#N/A</v>
      </c>
      <c r="AD286" s="43" t="e">
        <f>NA()</f>
        <v>#N/A</v>
      </c>
      <c r="AE286" s="43" t="e">
        <f>NA()</f>
        <v>#N/A</v>
      </c>
      <c r="AF286" s="43" t="e">
        <f>NA()</f>
        <v>#N/A</v>
      </c>
      <c r="AG286" s="43" t="e">
        <f>NA()</f>
        <v>#N/A</v>
      </c>
      <c r="AH286" s="43" t="e">
        <f>NA()</f>
        <v>#N/A</v>
      </c>
      <c r="AI286" s="43" t="e">
        <f>NA()</f>
        <v>#N/A</v>
      </c>
      <c r="AJ286" s="43" t="e">
        <f>NA()</f>
        <v>#N/A</v>
      </c>
      <c r="AK286" s="43" t="e">
        <f>NA()</f>
        <v>#N/A</v>
      </c>
      <c r="AL286" s="43" t="e">
        <f>NA()</f>
        <v>#N/A</v>
      </c>
      <c r="AM286" s="43" t="e">
        <f>NA()</f>
        <v>#N/A</v>
      </c>
      <c r="AN286" s="43" t="e">
        <f>NA()</f>
        <v>#N/A</v>
      </c>
      <c r="AO286" s="43" t="e">
        <f>NA()</f>
        <v>#N/A</v>
      </c>
      <c r="AP286" s="43" t="e">
        <f>NA()</f>
        <v>#N/A</v>
      </c>
      <c r="AQ286" s="43" t="e">
        <f>NA()</f>
        <v>#N/A</v>
      </c>
    </row>
    <row r="287" spans="2:43">
      <c r="B287">
        <f t="shared" si="419"/>
        <v>2012</v>
      </c>
      <c r="C287">
        <f t="shared" si="420"/>
        <v>6</v>
      </c>
      <c r="D287" s="7">
        <v>41080</v>
      </c>
      <c r="E287" s="4" t="e">
        <f>NA()</f>
        <v>#N/A</v>
      </c>
      <c r="F287" s="4">
        <v>1</v>
      </c>
      <c r="G287" s="4">
        <v>0</v>
      </c>
      <c r="H287" s="10">
        <v>0.01</v>
      </c>
      <c r="I287" s="10" t="e">
        <v>#N/A</v>
      </c>
      <c r="J287" s="34">
        <v>62012</v>
      </c>
      <c r="K287" s="35">
        <v>41080</v>
      </c>
      <c r="L287" s="35">
        <v>41061</v>
      </c>
      <c r="M287" s="43" t="e">
        <f>NA()</f>
        <v>#N/A</v>
      </c>
      <c r="N287" s="43" t="e">
        <f>NA()</f>
        <v>#N/A</v>
      </c>
      <c r="O287" s="43" t="e">
        <f>NA()</f>
        <v>#N/A</v>
      </c>
      <c r="P287" s="43" t="e">
        <f>NA()</f>
        <v>#N/A</v>
      </c>
      <c r="Q287" s="43" t="e">
        <f>NA()</f>
        <v>#N/A</v>
      </c>
      <c r="R287" s="43" t="e">
        <f>NA()</f>
        <v>#N/A</v>
      </c>
      <c r="S287" s="43" t="e">
        <f>NA()</f>
        <v>#N/A</v>
      </c>
      <c r="T287" s="43" t="e">
        <f>NA()</f>
        <v>#N/A</v>
      </c>
      <c r="U287" s="43" t="e">
        <f>NA()</f>
        <v>#N/A</v>
      </c>
      <c r="V287" s="43" t="e">
        <f>NA()</f>
        <v>#N/A</v>
      </c>
      <c r="W287" s="43" t="e">
        <f>NA()</f>
        <v>#N/A</v>
      </c>
      <c r="X287" s="43" t="e">
        <f>NA()</f>
        <v>#N/A</v>
      </c>
      <c r="Y287" s="43" t="e">
        <f>NA()</f>
        <v>#N/A</v>
      </c>
      <c r="Z287" s="43" t="e">
        <f>NA()</f>
        <v>#N/A</v>
      </c>
      <c r="AA287" s="43" t="e">
        <f>NA()</f>
        <v>#N/A</v>
      </c>
      <c r="AB287" s="43" t="e">
        <f>NA()</f>
        <v>#N/A</v>
      </c>
      <c r="AC287" s="43" t="e">
        <f>NA()</f>
        <v>#N/A</v>
      </c>
      <c r="AD287" s="43" t="e">
        <f>NA()</f>
        <v>#N/A</v>
      </c>
      <c r="AE287" s="43" t="e">
        <f>NA()</f>
        <v>#N/A</v>
      </c>
      <c r="AF287" s="43" t="e">
        <f>NA()</f>
        <v>#N/A</v>
      </c>
      <c r="AG287" s="43" t="e">
        <f>NA()</f>
        <v>#N/A</v>
      </c>
      <c r="AH287" s="43" t="e">
        <f>NA()</f>
        <v>#N/A</v>
      </c>
      <c r="AI287" s="43" t="e">
        <f>NA()</f>
        <v>#N/A</v>
      </c>
      <c r="AJ287" s="43" t="e">
        <f>NA()</f>
        <v>#N/A</v>
      </c>
      <c r="AK287" s="43" t="e">
        <f>NA()</f>
        <v>#N/A</v>
      </c>
      <c r="AL287" s="43" t="e">
        <f>NA()</f>
        <v>#N/A</v>
      </c>
      <c r="AM287" s="43" t="e">
        <f>NA()</f>
        <v>#N/A</v>
      </c>
      <c r="AN287" s="43" t="e">
        <f>NA()</f>
        <v>#N/A</v>
      </c>
      <c r="AO287" s="43" t="e">
        <f>NA()</f>
        <v>#N/A</v>
      </c>
      <c r="AP287" s="43" t="e">
        <f>NA()</f>
        <v>#N/A</v>
      </c>
      <c r="AQ287" s="43" t="e">
        <f>NA()</f>
        <v>#N/A</v>
      </c>
    </row>
    <row r="288" spans="2:43">
      <c r="B288">
        <f t="shared" si="419"/>
        <v>2012</v>
      </c>
      <c r="C288">
        <f t="shared" si="420"/>
        <v>8</v>
      </c>
      <c r="D288" s="7">
        <v>41122</v>
      </c>
      <c r="E288" s="4" t="e">
        <f>NA()</f>
        <v>#N/A</v>
      </c>
      <c r="F288" s="4">
        <v>1</v>
      </c>
      <c r="G288" s="4">
        <v>0</v>
      </c>
      <c r="H288" s="10">
        <v>1.4999999999999999E-2</v>
      </c>
      <c r="I288" s="10" t="e">
        <v>#N/A</v>
      </c>
      <c r="J288" s="34">
        <v>80112</v>
      </c>
      <c r="K288" s="35">
        <v>41122</v>
      </c>
      <c r="L288" s="35">
        <v>41153</v>
      </c>
      <c r="M288" s="43" t="e">
        <f>NA()</f>
        <v>#N/A</v>
      </c>
      <c r="N288" s="43" t="e">
        <f>NA()</f>
        <v>#N/A</v>
      </c>
      <c r="O288" s="43" t="e">
        <f>NA()</f>
        <v>#N/A</v>
      </c>
      <c r="P288" s="43" t="e">
        <f>NA()</f>
        <v>#N/A</v>
      </c>
      <c r="Q288" s="43" t="e">
        <f>NA()</f>
        <v>#N/A</v>
      </c>
      <c r="R288" s="43" t="e">
        <f>NA()</f>
        <v>#N/A</v>
      </c>
      <c r="S288" s="43" t="e">
        <f>NA()</f>
        <v>#N/A</v>
      </c>
      <c r="T288" s="43" t="e">
        <f>NA()</f>
        <v>#N/A</v>
      </c>
      <c r="U288" s="43" t="e">
        <f>NA()</f>
        <v>#N/A</v>
      </c>
      <c r="V288" s="43" t="e">
        <f>NA()</f>
        <v>#N/A</v>
      </c>
      <c r="W288" s="43" t="e">
        <f>NA()</f>
        <v>#N/A</v>
      </c>
      <c r="X288" s="43" t="e">
        <f>NA()</f>
        <v>#N/A</v>
      </c>
      <c r="Y288" s="43" t="e">
        <f>NA()</f>
        <v>#N/A</v>
      </c>
      <c r="Z288" s="43" t="e">
        <f>NA()</f>
        <v>#N/A</v>
      </c>
      <c r="AA288" s="43" t="e">
        <f>NA()</f>
        <v>#N/A</v>
      </c>
      <c r="AB288" s="43" t="e">
        <f>NA()</f>
        <v>#N/A</v>
      </c>
      <c r="AC288" s="43" t="e">
        <f>NA()</f>
        <v>#N/A</v>
      </c>
      <c r="AD288" s="43" t="e">
        <f>NA()</f>
        <v>#N/A</v>
      </c>
      <c r="AE288" s="43" t="e">
        <f>NA()</f>
        <v>#N/A</v>
      </c>
      <c r="AF288" s="43" t="e">
        <f>NA()</f>
        <v>#N/A</v>
      </c>
      <c r="AG288" s="43" t="e">
        <f>NA()</f>
        <v>#N/A</v>
      </c>
      <c r="AH288" s="43" t="e">
        <f>NA()</f>
        <v>#N/A</v>
      </c>
      <c r="AI288" s="43" t="e">
        <f>NA()</f>
        <v>#N/A</v>
      </c>
      <c r="AJ288" s="43" t="e">
        <f>NA()</f>
        <v>#N/A</v>
      </c>
      <c r="AK288" s="43" t="e">
        <f>NA()</f>
        <v>#N/A</v>
      </c>
      <c r="AL288" s="43" t="e">
        <f>NA()</f>
        <v>#N/A</v>
      </c>
      <c r="AM288" s="43" t="e">
        <f>NA()</f>
        <v>#N/A</v>
      </c>
      <c r="AN288" s="43" t="e">
        <f>NA()</f>
        <v>#N/A</v>
      </c>
      <c r="AO288" s="43" t="e">
        <f>NA()</f>
        <v>#N/A</v>
      </c>
      <c r="AP288" s="43" t="e">
        <f>NA()</f>
        <v>#N/A</v>
      </c>
      <c r="AQ288" s="43" t="e">
        <f>NA()</f>
        <v>#N/A</v>
      </c>
    </row>
    <row r="289" spans="2:43">
      <c r="B289">
        <f t="shared" si="419"/>
        <v>2012</v>
      </c>
      <c r="C289">
        <f t="shared" si="420"/>
        <v>9</v>
      </c>
      <c r="D289" s="7">
        <v>41165</v>
      </c>
      <c r="E289" s="4" t="e">
        <f>NA()</f>
        <v>#N/A</v>
      </c>
      <c r="F289" s="4">
        <v>1</v>
      </c>
      <c r="G289" s="4">
        <v>0</v>
      </c>
      <c r="H289" s="10">
        <v>0.02</v>
      </c>
      <c r="I289" s="10" t="e">
        <v>#N/A</v>
      </c>
      <c r="J289" s="34">
        <v>91312</v>
      </c>
      <c r="K289" s="35">
        <v>41165</v>
      </c>
      <c r="L289" s="35">
        <v>41153</v>
      </c>
      <c r="M289" s="43" t="e">
        <f>NA()</f>
        <v>#N/A</v>
      </c>
      <c r="N289" s="43" t="e">
        <f>NA()</f>
        <v>#N/A</v>
      </c>
      <c r="O289" s="43" t="e">
        <f>NA()</f>
        <v>#N/A</v>
      </c>
      <c r="P289" s="43" t="e">
        <f>NA()</f>
        <v>#N/A</v>
      </c>
      <c r="Q289" s="43" t="e">
        <f>NA()</f>
        <v>#N/A</v>
      </c>
      <c r="R289" s="43" t="e">
        <f>NA()</f>
        <v>#N/A</v>
      </c>
      <c r="S289" s="43" t="e">
        <f>NA()</f>
        <v>#N/A</v>
      </c>
      <c r="T289" s="43" t="e">
        <f>NA()</f>
        <v>#N/A</v>
      </c>
      <c r="U289" s="43" t="e">
        <f>NA()</f>
        <v>#N/A</v>
      </c>
      <c r="V289" s="43" t="e">
        <f>NA()</f>
        <v>#N/A</v>
      </c>
      <c r="W289" s="43" t="e">
        <f>NA()</f>
        <v>#N/A</v>
      </c>
      <c r="X289" s="43" t="e">
        <f>NA()</f>
        <v>#N/A</v>
      </c>
      <c r="Y289" s="43" t="e">
        <f>NA()</f>
        <v>#N/A</v>
      </c>
      <c r="Z289" s="43" t="e">
        <f>NA()</f>
        <v>#N/A</v>
      </c>
      <c r="AA289" s="43" t="e">
        <f>NA()</f>
        <v>#N/A</v>
      </c>
      <c r="AB289" s="43" t="e">
        <f>NA()</f>
        <v>#N/A</v>
      </c>
      <c r="AC289" s="43" t="e">
        <f>NA()</f>
        <v>#N/A</v>
      </c>
      <c r="AD289" s="43" t="e">
        <f>NA()</f>
        <v>#N/A</v>
      </c>
      <c r="AE289" s="43" t="e">
        <f>NA()</f>
        <v>#N/A</v>
      </c>
      <c r="AF289" s="43" t="e">
        <f>NA()</f>
        <v>#N/A</v>
      </c>
      <c r="AG289" s="43" t="e">
        <f>NA()</f>
        <v>#N/A</v>
      </c>
      <c r="AH289" s="43" t="e">
        <f>NA()</f>
        <v>#N/A</v>
      </c>
      <c r="AI289" s="43" t="e">
        <f>NA()</f>
        <v>#N/A</v>
      </c>
      <c r="AJ289" s="43" t="e">
        <f>NA()</f>
        <v>#N/A</v>
      </c>
      <c r="AK289" s="43" t="e">
        <f>NA()</f>
        <v>#N/A</v>
      </c>
      <c r="AL289" s="43" t="e">
        <f>NA()</f>
        <v>#N/A</v>
      </c>
      <c r="AM289" s="43" t="e">
        <f>NA()</f>
        <v>#N/A</v>
      </c>
      <c r="AN289" s="43" t="e">
        <f>NA()</f>
        <v>#N/A</v>
      </c>
      <c r="AO289" s="43" t="e">
        <f>NA()</f>
        <v>#N/A</v>
      </c>
      <c r="AP289" s="43" t="e">
        <f>NA()</f>
        <v>#N/A</v>
      </c>
      <c r="AQ289" s="43" t="e">
        <f>NA()</f>
        <v>#N/A</v>
      </c>
    </row>
    <row r="290" spans="2:43">
      <c r="B290">
        <f t="shared" si="419"/>
        <v>2012</v>
      </c>
      <c r="C290">
        <f t="shared" si="420"/>
        <v>10</v>
      </c>
      <c r="D290" s="7">
        <v>41206</v>
      </c>
      <c r="E290" s="4" t="e">
        <f>NA()</f>
        <v>#N/A</v>
      </c>
      <c r="F290" s="4">
        <v>1</v>
      </c>
      <c r="G290" s="4">
        <v>0</v>
      </c>
      <c r="H290" s="10">
        <v>-5.0000000000000001E-3</v>
      </c>
      <c r="I290" s="10" t="e">
        <v>#N/A</v>
      </c>
      <c r="J290" s="34">
        <v>102412</v>
      </c>
      <c r="K290" s="35">
        <v>41206</v>
      </c>
      <c r="L290" s="35">
        <v>41244</v>
      </c>
      <c r="M290" s="43" t="e">
        <f>NA()</f>
        <v>#N/A</v>
      </c>
      <c r="N290" s="43" t="e">
        <f>NA()</f>
        <v>#N/A</v>
      </c>
      <c r="O290" s="43" t="e">
        <f>NA()</f>
        <v>#N/A</v>
      </c>
      <c r="P290" s="43" t="e">
        <f>NA()</f>
        <v>#N/A</v>
      </c>
      <c r="Q290" s="43" t="e">
        <f>NA()</f>
        <v>#N/A</v>
      </c>
      <c r="R290" s="43" t="e">
        <f>NA()</f>
        <v>#N/A</v>
      </c>
      <c r="S290" s="43" t="e">
        <f>NA()</f>
        <v>#N/A</v>
      </c>
      <c r="T290" s="43" t="e">
        <f>NA()</f>
        <v>#N/A</v>
      </c>
      <c r="U290" s="43" t="e">
        <f>NA()</f>
        <v>#N/A</v>
      </c>
      <c r="V290" s="43" t="e">
        <f>NA()</f>
        <v>#N/A</v>
      </c>
      <c r="W290" s="43" t="e">
        <f>NA()</f>
        <v>#N/A</v>
      </c>
      <c r="X290" s="43" t="e">
        <f>NA()</f>
        <v>#N/A</v>
      </c>
      <c r="Y290" s="43" t="e">
        <f>NA()</f>
        <v>#N/A</v>
      </c>
      <c r="Z290" s="43" t="e">
        <f>NA()</f>
        <v>#N/A</v>
      </c>
      <c r="AA290" s="43" t="e">
        <f>NA()</f>
        <v>#N/A</v>
      </c>
      <c r="AB290" s="43" t="e">
        <f>NA()</f>
        <v>#N/A</v>
      </c>
      <c r="AC290" s="43" t="e">
        <f>NA()</f>
        <v>#N/A</v>
      </c>
      <c r="AD290" s="43" t="e">
        <f>NA()</f>
        <v>#N/A</v>
      </c>
      <c r="AE290" s="43" t="e">
        <f>NA()</f>
        <v>#N/A</v>
      </c>
      <c r="AF290" s="43" t="e">
        <f>NA()</f>
        <v>#N/A</v>
      </c>
      <c r="AG290" s="43" t="e">
        <f>NA()</f>
        <v>#N/A</v>
      </c>
      <c r="AH290" s="43" t="e">
        <f>NA()</f>
        <v>#N/A</v>
      </c>
      <c r="AI290" s="43" t="e">
        <f>NA()</f>
        <v>#N/A</v>
      </c>
      <c r="AJ290" s="43" t="e">
        <f>NA()</f>
        <v>#N/A</v>
      </c>
      <c r="AK290" s="43" t="e">
        <f>NA()</f>
        <v>#N/A</v>
      </c>
      <c r="AL290" s="43" t="e">
        <f>NA()</f>
        <v>#N/A</v>
      </c>
      <c r="AM290" s="43" t="e">
        <f>NA()</f>
        <v>#N/A</v>
      </c>
      <c r="AN290" s="43" t="e">
        <f>NA()</f>
        <v>#N/A</v>
      </c>
      <c r="AO290" s="43" t="e">
        <f>NA()</f>
        <v>#N/A</v>
      </c>
      <c r="AP290" s="43" t="e">
        <f>NA()</f>
        <v>#N/A</v>
      </c>
      <c r="AQ290" s="43" t="e">
        <f>NA()</f>
        <v>#N/A</v>
      </c>
    </row>
    <row r="291" spans="2:43">
      <c r="B291">
        <f t="shared" si="419"/>
        <v>2012</v>
      </c>
      <c r="C291">
        <f t="shared" si="420"/>
        <v>12</v>
      </c>
      <c r="D291" s="7">
        <v>41255</v>
      </c>
      <c r="E291" s="4" t="e">
        <f>NA()</f>
        <v>#N/A</v>
      </c>
      <c r="F291" s="4">
        <v>1</v>
      </c>
      <c r="G291" s="4">
        <v>0</v>
      </c>
      <c r="H291" s="10">
        <v>0</v>
      </c>
      <c r="I291" s="10" t="e">
        <v>#N/A</v>
      </c>
      <c r="J291" s="34">
        <v>121212</v>
      </c>
      <c r="K291" s="35">
        <v>41255</v>
      </c>
      <c r="L291" s="35">
        <v>41244</v>
      </c>
      <c r="M291" s="43" t="e">
        <f>NA()</f>
        <v>#N/A</v>
      </c>
      <c r="N291" s="43" t="e">
        <f>NA()</f>
        <v>#N/A</v>
      </c>
      <c r="O291" s="43" t="e">
        <f>NA()</f>
        <v>#N/A</v>
      </c>
      <c r="P291" s="43" t="e">
        <f>NA()</f>
        <v>#N/A</v>
      </c>
      <c r="Q291" s="43" t="e">
        <f>NA()</f>
        <v>#N/A</v>
      </c>
      <c r="R291" s="43" t="e">
        <f>NA()</f>
        <v>#N/A</v>
      </c>
      <c r="S291" s="43" t="e">
        <f>NA()</f>
        <v>#N/A</v>
      </c>
      <c r="T291" s="43" t="e">
        <f>NA()</f>
        <v>#N/A</v>
      </c>
      <c r="U291" s="43" t="e">
        <f>NA()</f>
        <v>#N/A</v>
      </c>
      <c r="V291" s="43" t="e">
        <f>NA()</f>
        <v>#N/A</v>
      </c>
      <c r="W291" s="43" t="e">
        <f>NA()</f>
        <v>#N/A</v>
      </c>
      <c r="X291" s="43" t="e">
        <f>NA()</f>
        <v>#N/A</v>
      </c>
      <c r="Y291" s="43" t="e">
        <f>NA()</f>
        <v>#N/A</v>
      </c>
      <c r="Z291" s="43" t="e">
        <f>NA()</f>
        <v>#N/A</v>
      </c>
      <c r="AA291" s="43" t="e">
        <f>NA()</f>
        <v>#N/A</v>
      </c>
      <c r="AB291" s="43" t="e">
        <f>NA()</f>
        <v>#N/A</v>
      </c>
      <c r="AC291" s="43" t="e">
        <f>NA()</f>
        <v>#N/A</v>
      </c>
      <c r="AD291" s="43" t="e">
        <f>NA()</f>
        <v>#N/A</v>
      </c>
      <c r="AE291" s="43" t="e">
        <f>NA()</f>
        <v>#N/A</v>
      </c>
      <c r="AF291" s="43" t="e">
        <f>NA()</f>
        <v>#N/A</v>
      </c>
      <c r="AG291" s="43" t="e">
        <f>NA()</f>
        <v>#N/A</v>
      </c>
      <c r="AH291" s="43" t="e">
        <f>NA()</f>
        <v>#N/A</v>
      </c>
      <c r="AI291" s="43" t="e">
        <f>NA()</f>
        <v>#N/A</v>
      </c>
      <c r="AJ291" s="43" t="e">
        <f>NA()</f>
        <v>#N/A</v>
      </c>
      <c r="AK291" s="43" t="e">
        <f>NA()</f>
        <v>#N/A</v>
      </c>
      <c r="AL291" s="43" t="e">
        <f>NA()</f>
        <v>#N/A</v>
      </c>
      <c r="AM291" s="43" t="e">
        <f>NA()</f>
        <v>#N/A</v>
      </c>
      <c r="AN291" s="43" t="e">
        <f>NA()</f>
        <v>#N/A</v>
      </c>
      <c r="AO291" s="43" t="e">
        <f>NA()</f>
        <v>#N/A</v>
      </c>
      <c r="AP291" s="43" t="e">
        <f>NA()</f>
        <v>#N/A</v>
      </c>
      <c r="AQ291" s="43" t="e">
        <f>NA()</f>
        <v>#N/A</v>
      </c>
    </row>
    <row r="292" spans="2:43">
      <c r="B292">
        <f t="shared" si="419"/>
        <v>2013</v>
      </c>
      <c r="C292">
        <f t="shared" si="420"/>
        <v>1</v>
      </c>
      <c r="D292" s="7">
        <v>41304</v>
      </c>
      <c r="E292" s="4" t="e">
        <f>NA()</f>
        <v>#N/A</v>
      </c>
      <c r="F292" s="4">
        <v>1</v>
      </c>
      <c r="G292" s="4">
        <v>0</v>
      </c>
      <c r="H292" s="10">
        <v>0</v>
      </c>
      <c r="I292" s="10" t="e">
        <v>#N/A</v>
      </c>
      <c r="J292" s="34">
        <v>13013</v>
      </c>
      <c r="K292" s="35">
        <v>41304</v>
      </c>
      <c r="L292" s="35">
        <v>41334</v>
      </c>
      <c r="M292" s="43" t="e">
        <f>NA()</f>
        <v>#N/A</v>
      </c>
      <c r="N292" s="43" t="e">
        <f>NA()</f>
        <v>#N/A</v>
      </c>
      <c r="O292" s="43" t="e">
        <f>NA()</f>
        <v>#N/A</v>
      </c>
      <c r="P292" s="43" t="e">
        <f>NA()</f>
        <v>#N/A</v>
      </c>
      <c r="Q292" s="43" t="e">
        <f>NA()</f>
        <v>#N/A</v>
      </c>
      <c r="R292" s="43" t="e">
        <f>NA()</f>
        <v>#N/A</v>
      </c>
      <c r="S292" s="43" t="e">
        <f>NA()</f>
        <v>#N/A</v>
      </c>
      <c r="T292" s="43" t="e">
        <f>NA()</f>
        <v>#N/A</v>
      </c>
      <c r="U292" s="43" t="e">
        <f>NA()</f>
        <v>#N/A</v>
      </c>
      <c r="V292" s="43" t="e">
        <f>NA()</f>
        <v>#N/A</v>
      </c>
      <c r="W292" s="43" t="e">
        <f>NA()</f>
        <v>#N/A</v>
      </c>
      <c r="X292" s="43" t="e">
        <f>NA()</f>
        <v>#N/A</v>
      </c>
      <c r="Y292" s="43" t="e">
        <f>NA()</f>
        <v>#N/A</v>
      </c>
      <c r="Z292" s="43" t="e">
        <f>NA()</f>
        <v>#N/A</v>
      </c>
      <c r="AA292" s="43" t="e">
        <f>NA()</f>
        <v>#N/A</v>
      </c>
      <c r="AB292" s="43" t="e">
        <f>NA()</f>
        <v>#N/A</v>
      </c>
      <c r="AC292" s="43" t="e">
        <f>NA()</f>
        <v>#N/A</v>
      </c>
      <c r="AD292" s="43" t="e">
        <f>NA()</f>
        <v>#N/A</v>
      </c>
      <c r="AE292" s="43" t="e">
        <f>NA()</f>
        <v>#N/A</v>
      </c>
      <c r="AF292" s="43" t="e">
        <f>NA()</f>
        <v>#N/A</v>
      </c>
      <c r="AG292" s="43" t="e">
        <f>NA()</f>
        <v>#N/A</v>
      </c>
      <c r="AH292" s="43" t="e">
        <f>NA()</f>
        <v>#N/A</v>
      </c>
      <c r="AI292" s="43" t="e">
        <f>NA()</f>
        <v>#N/A</v>
      </c>
      <c r="AJ292" s="43" t="e">
        <f>NA()</f>
        <v>#N/A</v>
      </c>
      <c r="AK292" s="43" t="e">
        <f>NA()</f>
        <v>#N/A</v>
      </c>
      <c r="AL292" s="43" t="e">
        <f>NA()</f>
        <v>#N/A</v>
      </c>
      <c r="AM292" s="43" t="e">
        <f>NA()</f>
        <v>#N/A</v>
      </c>
      <c r="AN292" s="43" t="e">
        <f>NA()</f>
        <v>#N/A</v>
      </c>
      <c r="AO292" s="43" t="e">
        <f>NA()</f>
        <v>#N/A</v>
      </c>
      <c r="AP292" s="43" t="e">
        <f>NA()</f>
        <v>#N/A</v>
      </c>
      <c r="AQ292" s="43" t="e">
        <f>NA()</f>
        <v>#N/A</v>
      </c>
    </row>
    <row r="293" spans="2:43">
      <c r="B293">
        <f t="shared" si="419"/>
        <v>2013</v>
      </c>
      <c r="C293">
        <f t="shared" si="420"/>
        <v>3</v>
      </c>
      <c r="D293" s="7">
        <v>41353</v>
      </c>
      <c r="E293" s="4" t="e">
        <f>NA()</f>
        <v>#N/A</v>
      </c>
      <c r="F293" s="4">
        <v>1</v>
      </c>
      <c r="G293" s="4">
        <v>0</v>
      </c>
      <c r="H293" s="10">
        <v>5.0000000000000001E-3</v>
      </c>
      <c r="I293" s="10" t="e">
        <v>#N/A</v>
      </c>
      <c r="J293" s="34">
        <v>32013</v>
      </c>
      <c r="K293" s="35">
        <v>41353</v>
      </c>
      <c r="L293" s="35">
        <v>41334</v>
      </c>
      <c r="M293" s="43" t="e">
        <f>NA()</f>
        <v>#N/A</v>
      </c>
      <c r="N293" s="43" t="e">
        <f>NA()</f>
        <v>#N/A</v>
      </c>
      <c r="O293" s="43" t="e">
        <f>NA()</f>
        <v>#N/A</v>
      </c>
      <c r="P293" s="43" t="e">
        <f>NA()</f>
        <v>#N/A</v>
      </c>
      <c r="Q293" s="43" t="e">
        <f>NA()</f>
        <v>#N/A</v>
      </c>
      <c r="R293" s="43" t="e">
        <f>NA()</f>
        <v>#N/A</v>
      </c>
      <c r="S293" s="43" t="e">
        <f>NA()</f>
        <v>#N/A</v>
      </c>
      <c r="T293" s="43" t="e">
        <f>NA()</f>
        <v>#N/A</v>
      </c>
      <c r="U293" s="43" t="e">
        <f>NA()</f>
        <v>#N/A</v>
      </c>
      <c r="V293" s="43" t="e">
        <f>NA()</f>
        <v>#N/A</v>
      </c>
      <c r="W293" s="43" t="e">
        <f>NA()</f>
        <v>#N/A</v>
      </c>
      <c r="X293" s="43" t="e">
        <f>NA()</f>
        <v>#N/A</v>
      </c>
      <c r="Y293" s="43" t="e">
        <f>NA()</f>
        <v>#N/A</v>
      </c>
      <c r="Z293" s="43" t="e">
        <f>NA()</f>
        <v>#N/A</v>
      </c>
      <c r="AA293" s="43" t="e">
        <f>NA()</f>
        <v>#N/A</v>
      </c>
      <c r="AB293" s="43" t="e">
        <f>NA()</f>
        <v>#N/A</v>
      </c>
      <c r="AC293" s="43" t="e">
        <f>NA()</f>
        <v>#N/A</v>
      </c>
      <c r="AD293" s="43" t="e">
        <f>NA()</f>
        <v>#N/A</v>
      </c>
      <c r="AE293" s="43" t="e">
        <f>NA()</f>
        <v>#N/A</v>
      </c>
      <c r="AF293" s="43" t="e">
        <f>NA()</f>
        <v>#N/A</v>
      </c>
      <c r="AG293" s="43" t="e">
        <f>NA()</f>
        <v>#N/A</v>
      </c>
      <c r="AH293" s="43" t="e">
        <f>NA()</f>
        <v>#N/A</v>
      </c>
      <c r="AI293" s="43" t="e">
        <f>NA()</f>
        <v>#N/A</v>
      </c>
      <c r="AJ293" s="43" t="e">
        <f>NA()</f>
        <v>#N/A</v>
      </c>
      <c r="AK293" s="43" t="e">
        <f>NA()</f>
        <v>#N/A</v>
      </c>
      <c r="AL293" s="43" t="e">
        <f>NA()</f>
        <v>#N/A</v>
      </c>
      <c r="AM293" s="43" t="e">
        <f>NA()</f>
        <v>#N/A</v>
      </c>
      <c r="AN293" s="43" t="e">
        <f>NA()</f>
        <v>#N/A</v>
      </c>
      <c r="AO293" s="43" t="e">
        <f>NA()</f>
        <v>#N/A</v>
      </c>
      <c r="AP293" s="43" t="e">
        <f>NA()</f>
        <v>#N/A</v>
      </c>
      <c r="AQ293" s="43" t="e">
        <f>NA()</f>
        <v>#N/A</v>
      </c>
    </row>
    <row r="294" spans="2:43">
      <c r="B294">
        <f t="shared" si="419"/>
        <v>2013</v>
      </c>
      <c r="C294">
        <f t="shared" si="420"/>
        <v>5</v>
      </c>
      <c r="D294" s="7">
        <v>41395</v>
      </c>
      <c r="E294" s="4" t="e">
        <f>NA()</f>
        <v>#N/A</v>
      </c>
      <c r="F294" s="4">
        <v>1</v>
      </c>
      <c r="G294" s="4">
        <v>0</v>
      </c>
      <c r="H294" s="10">
        <v>0</v>
      </c>
      <c r="I294" s="10" t="e">
        <v>#N/A</v>
      </c>
      <c r="J294" s="34">
        <v>50113</v>
      </c>
      <c r="K294" s="35">
        <v>41395</v>
      </c>
      <c r="L294" s="35">
        <v>41426</v>
      </c>
      <c r="M294" s="43" t="e">
        <f>NA()</f>
        <v>#N/A</v>
      </c>
      <c r="N294" s="43" t="e">
        <f>NA()</f>
        <v>#N/A</v>
      </c>
      <c r="O294" s="43" t="e">
        <f>NA()</f>
        <v>#N/A</v>
      </c>
      <c r="P294" s="43" t="e">
        <f>NA()</f>
        <v>#N/A</v>
      </c>
      <c r="Q294" s="43" t="e">
        <f>NA()</f>
        <v>#N/A</v>
      </c>
      <c r="R294" s="43" t="e">
        <f>NA()</f>
        <v>#N/A</v>
      </c>
      <c r="S294" s="43" t="e">
        <f>NA()</f>
        <v>#N/A</v>
      </c>
      <c r="T294" s="43" t="e">
        <f>NA()</f>
        <v>#N/A</v>
      </c>
      <c r="U294" s="43" t="e">
        <f>NA()</f>
        <v>#N/A</v>
      </c>
      <c r="V294" s="43" t="e">
        <f>NA()</f>
        <v>#N/A</v>
      </c>
      <c r="W294" s="43" t="e">
        <f>NA()</f>
        <v>#N/A</v>
      </c>
      <c r="X294" s="43" t="e">
        <f>NA()</f>
        <v>#N/A</v>
      </c>
      <c r="Y294" s="43" t="e">
        <f>NA()</f>
        <v>#N/A</v>
      </c>
      <c r="Z294" s="43" t="e">
        <f>NA()</f>
        <v>#N/A</v>
      </c>
      <c r="AA294" s="43" t="e">
        <f>NA()</f>
        <v>#N/A</v>
      </c>
      <c r="AB294" s="43" t="e">
        <f>NA()</f>
        <v>#N/A</v>
      </c>
      <c r="AC294" s="43" t="e">
        <f>NA()</f>
        <v>#N/A</v>
      </c>
      <c r="AD294" s="43" t="e">
        <f>NA()</f>
        <v>#N/A</v>
      </c>
      <c r="AE294" s="43" t="e">
        <f>NA()</f>
        <v>#N/A</v>
      </c>
      <c r="AF294" s="43" t="e">
        <f>NA()</f>
        <v>#N/A</v>
      </c>
      <c r="AG294" s="43" t="e">
        <f>NA()</f>
        <v>#N/A</v>
      </c>
      <c r="AH294" s="43" t="e">
        <f>NA()</f>
        <v>#N/A</v>
      </c>
      <c r="AI294" s="43" t="e">
        <f>NA()</f>
        <v>#N/A</v>
      </c>
      <c r="AJ294" s="43" t="e">
        <f>NA()</f>
        <v>#N/A</v>
      </c>
      <c r="AK294" s="43" t="e">
        <f>NA()</f>
        <v>#N/A</v>
      </c>
      <c r="AL294" s="43" t="e">
        <f>NA()</f>
        <v>#N/A</v>
      </c>
      <c r="AM294" s="43" t="e">
        <f>NA()</f>
        <v>#N/A</v>
      </c>
      <c r="AN294" s="43" t="e">
        <f>NA()</f>
        <v>#N/A</v>
      </c>
      <c r="AO294" s="43" t="e">
        <f>NA()</f>
        <v>#N/A</v>
      </c>
      <c r="AP294" s="43" t="e">
        <f>NA()</f>
        <v>#N/A</v>
      </c>
      <c r="AQ294" s="43" t="e">
        <f>NA()</f>
        <v>#N/A</v>
      </c>
    </row>
    <row r="295" spans="2:43">
      <c r="B295">
        <f t="shared" si="419"/>
        <v>2013</v>
      </c>
      <c r="C295">
        <f t="shared" si="420"/>
        <v>6</v>
      </c>
      <c r="D295" s="7">
        <v>41444</v>
      </c>
      <c r="E295" s="4" t="e">
        <f>NA()</f>
        <v>#N/A</v>
      </c>
      <c r="F295" s="4">
        <v>1</v>
      </c>
      <c r="G295" s="4">
        <v>0</v>
      </c>
      <c r="H295" s="10">
        <v>5.0000000000000001E-3</v>
      </c>
      <c r="I295" s="10" t="e">
        <v>#N/A</v>
      </c>
      <c r="J295" s="34">
        <v>61913</v>
      </c>
      <c r="K295" s="35">
        <v>41444</v>
      </c>
      <c r="L295" s="35">
        <v>41426</v>
      </c>
      <c r="M295" s="43" t="e">
        <f>NA()</f>
        <v>#N/A</v>
      </c>
      <c r="N295" s="43" t="e">
        <f>NA()</f>
        <v>#N/A</v>
      </c>
      <c r="O295" s="43" t="e">
        <f>NA()</f>
        <v>#N/A</v>
      </c>
      <c r="P295" s="43" t="e">
        <f>NA()</f>
        <v>#N/A</v>
      </c>
      <c r="Q295" s="43" t="e">
        <f>NA()</f>
        <v>#N/A</v>
      </c>
      <c r="R295" s="43" t="e">
        <f>NA()</f>
        <v>#N/A</v>
      </c>
      <c r="S295" s="43" t="e">
        <f>NA()</f>
        <v>#N/A</v>
      </c>
      <c r="T295" s="43" t="e">
        <f>NA()</f>
        <v>#N/A</v>
      </c>
      <c r="U295" s="43" t="e">
        <f>NA()</f>
        <v>#N/A</v>
      </c>
      <c r="V295" s="43" t="e">
        <f>NA()</f>
        <v>#N/A</v>
      </c>
      <c r="W295" s="43" t="e">
        <f>NA()</f>
        <v>#N/A</v>
      </c>
      <c r="X295" s="43" t="e">
        <f>NA()</f>
        <v>#N/A</v>
      </c>
      <c r="Y295" s="43" t="e">
        <f>NA()</f>
        <v>#N/A</v>
      </c>
      <c r="Z295" s="43" t="e">
        <f>NA()</f>
        <v>#N/A</v>
      </c>
      <c r="AA295" s="43" t="e">
        <f>NA()</f>
        <v>#N/A</v>
      </c>
      <c r="AB295" s="43" t="e">
        <f>NA()</f>
        <v>#N/A</v>
      </c>
      <c r="AC295" s="43" t="e">
        <f>NA()</f>
        <v>#N/A</v>
      </c>
      <c r="AD295" s="43" t="e">
        <f>NA()</f>
        <v>#N/A</v>
      </c>
      <c r="AE295" s="43" t="e">
        <f>NA()</f>
        <v>#N/A</v>
      </c>
      <c r="AF295" s="43" t="e">
        <f>NA()</f>
        <v>#N/A</v>
      </c>
      <c r="AG295" s="43" t="e">
        <f>NA()</f>
        <v>#N/A</v>
      </c>
      <c r="AH295" s="43" t="e">
        <f>NA()</f>
        <v>#N/A</v>
      </c>
      <c r="AI295" s="43" t="e">
        <f>NA()</f>
        <v>#N/A</v>
      </c>
      <c r="AJ295" s="43" t="e">
        <f>NA()</f>
        <v>#N/A</v>
      </c>
      <c r="AK295" s="43" t="e">
        <f>NA()</f>
        <v>#N/A</v>
      </c>
      <c r="AL295" s="43" t="e">
        <f>NA()</f>
        <v>#N/A</v>
      </c>
      <c r="AM295" s="43" t="e">
        <f>NA()</f>
        <v>#N/A</v>
      </c>
      <c r="AN295" s="43" t="e">
        <f>NA()</f>
        <v>#N/A</v>
      </c>
      <c r="AO295" s="43" t="e">
        <f>NA()</f>
        <v>#N/A</v>
      </c>
      <c r="AP295" s="43" t="e">
        <f>NA()</f>
        <v>#N/A</v>
      </c>
      <c r="AQ295" s="43" t="e">
        <f>NA()</f>
        <v>#N/A</v>
      </c>
    </row>
    <row r="296" spans="2:43">
      <c r="B296">
        <f t="shared" si="419"/>
        <v>2013</v>
      </c>
      <c r="C296">
        <f t="shared" si="420"/>
        <v>7</v>
      </c>
      <c r="D296" s="7">
        <v>41486</v>
      </c>
      <c r="E296" s="4" t="e">
        <f>NA()</f>
        <v>#N/A</v>
      </c>
      <c r="F296" s="4">
        <v>1</v>
      </c>
      <c r="G296" s="4">
        <v>0</v>
      </c>
      <c r="H296" s="10">
        <v>0</v>
      </c>
      <c r="I296" s="10" t="e">
        <v>#N/A</v>
      </c>
      <c r="J296" s="34">
        <v>73113</v>
      </c>
      <c r="K296" s="35">
        <v>41486</v>
      </c>
      <c r="L296" s="35">
        <v>41518</v>
      </c>
      <c r="M296" s="43" t="e">
        <f>NA()</f>
        <v>#N/A</v>
      </c>
      <c r="N296" s="43" t="e">
        <f>NA()</f>
        <v>#N/A</v>
      </c>
      <c r="O296" s="43" t="e">
        <f>NA()</f>
        <v>#N/A</v>
      </c>
      <c r="P296" s="43" t="e">
        <f>NA()</f>
        <v>#N/A</v>
      </c>
      <c r="Q296" s="43" t="e">
        <f>NA()</f>
        <v>#N/A</v>
      </c>
      <c r="R296" s="43" t="e">
        <f>NA()</f>
        <v>#N/A</v>
      </c>
      <c r="S296" s="43" t="e">
        <f>NA()</f>
        <v>#N/A</v>
      </c>
      <c r="T296" s="43" t="e">
        <f>NA()</f>
        <v>#N/A</v>
      </c>
      <c r="U296" s="43" t="e">
        <f>NA()</f>
        <v>#N/A</v>
      </c>
      <c r="V296" s="43" t="e">
        <f>NA()</f>
        <v>#N/A</v>
      </c>
      <c r="W296" s="43" t="e">
        <f>NA()</f>
        <v>#N/A</v>
      </c>
      <c r="X296" s="43" t="e">
        <f>NA()</f>
        <v>#N/A</v>
      </c>
      <c r="Y296" s="43" t="e">
        <f>NA()</f>
        <v>#N/A</v>
      </c>
      <c r="Z296" s="43" t="e">
        <f>NA()</f>
        <v>#N/A</v>
      </c>
      <c r="AA296" s="43" t="e">
        <f>NA()</f>
        <v>#N/A</v>
      </c>
      <c r="AB296" s="43" t="e">
        <f>NA()</f>
        <v>#N/A</v>
      </c>
      <c r="AC296" s="43" t="e">
        <f>NA()</f>
        <v>#N/A</v>
      </c>
      <c r="AD296" s="43" t="e">
        <f>NA()</f>
        <v>#N/A</v>
      </c>
      <c r="AE296" s="43" t="e">
        <f>NA()</f>
        <v>#N/A</v>
      </c>
      <c r="AF296" s="43" t="e">
        <f>NA()</f>
        <v>#N/A</v>
      </c>
      <c r="AG296" s="43" t="e">
        <f>NA()</f>
        <v>#N/A</v>
      </c>
      <c r="AH296" s="43" t="e">
        <f>NA()</f>
        <v>#N/A</v>
      </c>
      <c r="AI296" s="43" t="e">
        <f>NA()</f>
        <v>#N/A</v>
      </c>
      <c r="AJ296" s="43" t="e">
        <f>NA()</f>
        <v>#N/A</v>
      </c>
      <c r="AK296" s="43" t="e">
        <f>NA()</f>
        <v>#N/A</v>
      </c>
      <c r="AL296" s="43" t="e">
        <f>NA()</f>
        <v>#N/A</v>
      </c>
      <c r="AM296" s="43" t="e">
        <f>NA()</f>
        <v>#N/A</v>
      </c>
      <c r="AN296" s="43" t="e">
        <f>NA()</f>
        <v>#N/A</v>
      </c>
      <c r="AO296" s="43" t="e">
        <f>NA()</f>
        <v>#N/A</v>
      </c>
      <c r="AP296" s="43" t="e">
        <f>NA()</f>
        <v>#N/A</v>
      </c>
      <c r="AQ296" s="43" t="e">
        <f>NA()</f>
        <v>#N/A</v>
      </c>
    </row>
    <row r="297" spans="2:43">
      <c r="B297">
        <f t="shared" si="419"/>
        <v>2013</v>
      </c>
      <c r="C297">
        <f t="shared" si="420"/>
        <v>9</v>
      </c>
      <c r="D297" s="7">
        <v>41535</v>
      </c>
      <c r="E297" s="4" t="e">
        <f>NA()</f>
        <v>#N/A</v>
      </c>
      <c r="F297" s="4">
        <v>1</v>
      </c>
      <c r="G297" s="4">
        <v>0</v>
      </c>
      <c r="H297" s="10">
        <v>0</v>
      </c>
      <c r="I297" s="10" t="e">
        <v>#N/A</v>
      </c>
      <c r="J297" s="34">
        <v>91813</v>
      </c>
      <c r="K297" s="35">
        <v>41535</v>
      </c>
      <c r="L297" s="35">
        <v>41518</v>
      </c>
      <c r="M297" s="43" t="e">
        <f>NA()</f>
        <v>#N/A</v>
      </c>
      <c r="N297" s="43" t="e">
        <f>NA()</f>
        <v>#N/A</v>
      </c>
      <c r="O297" s="43" t="e">
        <f>NA()</f>
        <v>#N/A</v>
      </c>
      <c r="P297" s="43" t="e">
        <f>NA()</f>
        <v>#N/A</v>
      </c>
      <c r="Q297" s="43" t="e">
        <f>NA()</f>
        <v>#N/A</v>
      </c>
      <c r="R297" s="43" t="e">
        <f>NA()</f>
        <v>#N/A</v>
      </c>
      <c r="S297" s="43" t="e">
        <f>NA()</f>
        <v>#N/A</v>
      </c>
      <c r="T297" s="43" t="e">
        <f>NA()</f>
        <v>#N/A</v>
      </c>
      <c r="U297" s="43" t="e">
        <f>NA()</f>
        <v>#N/A</v>
      </c>
      <c r="V297" s="43" t="e">
        <f>NA()</f>
        <v>#N/A</v>
      </c>
      <c r="W297" s="43" t="e">
        <f>NA()</f>
        <v>#N/A</v>
      </c>
      <c r="X297" s="43" t="e">
        <f>NA()</f>
        <v>#N/A</v>
      </c>
      <c r="Y297" s="43" t="e">
        <f>NA()</f>
        <v>#N/A</v>
      </c>
      <c r="Z297" s="43" t="e">
        <f>NA()</f>
        <v>#N/A</v>
      </c>
      <c r="AA297" s="43" t="e">
        <f>NA()</f>
        <v>#N/A</v>
      </c>
      <c r="AB297" s="43" t="e">
        <f>NA()</f>
        <v>#N/A</v>
      </c>
      <c r="AC297" s="43" t="e">
        <f>NA()</f>
        <v>#N/A</v>
      </c>
      <c r="AD297" s="43" t="e">
        <f>NA()</f>
        <v>#N/A</v>
      </c>
      <c r="AE297" s="43" t="e">
        <f>NA()</f>
        <v>#N/A</v>
      </c>
      <c r="AF297" s="43" t="e">
        <f>NA()</f>
        <v>#N/A</v>
      </c>
      <c r="AG297" s="43" t="e">
        <f>NA()</f>
        <v>#N/A</v>
      </c>
      <c r="AH297" s="43" t="e">
        <f>NA()</f>
        <v>#N/A</v>
      </c>
      <c r="AI297" s="43" t="e">
        <f>NA()</f>
        <v>#N/A</v>
      </c>
      <c r="AJ297" s="43" t="e">
        <f>NA()</f>
        <v>#N/A</v>
      </c>
      <c r="AK297" s="43" t="e">
        <f>NA()</f>
        <v>#N/A</v>
      </c>
      <c r="AL297" s="43" t="e">
        <f>NA()</f>
        <v>#N/A</v>
      </c>
      <c r="AM297" s="43" t="e">
        <f>NA()</f>
        <v>#N/A</v>
      </c>
      <c r="AN297" s="43" t="e">
        <f>NA()</f>
        <v>#N/A</v>
      </c>
      <c r="AO297" s="43" t="e">
        <f>NA()</f>
        <v>#N/A</v>
      </c>
      <c r="AP297" s="43" t="e">
        <f>NA()</f>
        <v>#N/A</v>
      </c>
      <c r="AQ297" s="43" t="e">
        <f>NA()</f>
        <v>#N/A</v>
      </c>
    </row>
    <row r="298" spans="2:43">
      <c r="B298">
        <f t="shared" si="419"/>
        <v>2013</v>
      </c>
      <c r="C298">
        <f t="shared" si="420"/>
        <v>10</v>
      </c>
      <c r="D298" s="7">
        <v>41577</v>
      </c>
      <c r="E298" s="4" t="e">
        <f>NA()</f>
        <v>#N/A</v>
      </c>
      <c r="F298" s="4">
        <v>1</v>
      </c>
      <c r="G298" s="4">
        <v>0</v>
      </c>
      <c r="H298" s="10">
        <v>0</v>
      </c>
      <c r="I298" s="10" t="e">
        <v>#N/A</v>
      </c>
      <c r="J298" s="34">
        <v>103013</v>
      </c>
      <c r="K298" s="35">
        <v>41577</v>
      </c>
      <c r="L298" s="35">
        <v>41609</v>
      </c>
      <c r="M298" s="43" t="e">
        <f>NA()</f>
        <v>#N/A</v>
      </c>
      <c r="N298" s="43" t="e">
        <f>NA()</f>
        <v>#N/A</v>
      </c>
      <c r="O298" s="43" t="e">
        <f>NA()</f>
        <v>#N/A</v>
      </c>
      <c r="P298" s="43" t="e">
        <f>NA()</f>
        <v>#N/A</v>
      </c>
      <c r="Q298" s="43" t="e">
        <f>NA()</f>
        <v>#N/A</v>
      </c>
      <c r="R298" s="43" t="e">
        <f>NA()</f>
        <v>#N/A</v>
      </c>
      <c r="S298" s="43" t="e">
        <f>NA()</f>
        <v>#N/A</v>
      </c>
      <c r="T298" s="43" t="e">
        <f>NA()</f>
        <v>#N/A</v>
      </c>
      <c r="U298" s="43" t="e">
        <f>NA()</f>
        <v>#N/A</v>
      </c>
      <c r="V298" s="43" t="e">
        <f>NA()</f>
        <v>#N/A</v>
      </c>
      <c r="W298" s="43" t="e">
        <f>NA()</f>
        <v>#N/A</v>
      </c>
      <c r="X298" s="43" t="e">
        <f>NA()</f>
        <v>#N/A</v>
      </c>
      <c r="Y298" s="43" t="e">
        <f>NA()</f>
        <v>#N/A</v>
      </c>
      <c r="Z298" s="43" t="e">
        <f>NA()</f>
        <v>#N/A</v>
      </c>
      <c r="AA298" s="43" t="e">
        <f>NA()</f>
        <v>#N/A</v>
      </c>
      <c r="AB298" s="43" t="e">
        <f>NA()</f>
        <v>#N/A</v>
      </c>
      <c r="AC298" s="43" t="e">
        <f>NA()</f>
        <v>#N/A</v>
      </c>
      <c r="AD298" s="43" t="e">
        <f>NA()</f>
        <v>#N/A</v>
      </c>
      <c r="AE298" s="43" t="e">
        <f>NA()</f>
        <v>#N/A</v>
      </c>
      <c r="AF298" s="43" t="e">
        <f>NA()</f>
        <v>#N/A</v>
      </c>
      <c r="AG298" s="43" t="e">
        <f>NA()</f>
        <v>#N/A</v>
      </c>
      <c r="AH298" s="43" t="e">
        <f>NA()</f>
        <v>#N/A</v>
      </c>
      <c r="AI298" s="43" t="e">
        <f>NA()</f>
        <v>#N/A</v>
      </c>
      <c r="AJ298" s="43" t="e">
        <f>NA()</f>
        <v>#N/A</v>
      </c>
      <c r="AK298" s="43" t="e">
        <f>NA()</f>
        <v>#N/A</v>
      </c>
      <c r="AL298" s="43" t="e">
        <f>NA()</f>
        <v>#N/A</v>
      </c>
      <c r="AM298" s="43" t="e">
        <f>NA()</f>
        <v>#N/A</v>
      </c>
      <c r="AN298" s="43" t="e">
        <f>NA()</f>
        <v>#N/A</v>
      </c>
      <c r="AO298" s="43" t="e">
        <f>NA()</f>
        <v>#N/A</v>
      </c>
      <c r="AP298" s="43" t="e">
        <f>NA()</f>
        <v>#N/A</v>
      </c>
      <c r="AQ298" s="43" t="e">
        <f>NA()</f>
        <v>#N/A</v>
      </c>
    </row>
    <row r="299" spans="2:43">
      <c r="B299">
        <f t="shared" si="419"/>
        <v>2013</v>
      </c>
      <c r="C299">
        <f t="shared" si="420"/>
        <v>12</v>
      </c>
      <c r="D299" s="7">
        <v>41626</v>
      </c>
      <c r="E299" s="4" t="e">
        <f>NA()</f>
        <v>#N/A</v>
      </c>
      <c r="F299" s="4">
        <v>1</v>
      </c>
      <c r="G299" s="4">
        <v>0</v>
      </c>
      <c r="H299" s="10">
        <v>5.0000000000000001E-3</v>
      </c>
      <c r="I299" s="10" t="e">
        <v>#N/A</v>
      </c>
      <c r="J299" s="34">
        <v>121813</v>
      </c>
      <c r="K299" s="35">
        <v>41626</v>
      </c>
      <c r="L299" s="35">
        <v>41609</v>
      </c>
      <c r="M299" s="43" t="e">
        <f>NA()</f>
        <v>#N/A</v>
      </c>
      <c r="N299" s="43" t="e">
        <f>NA()</f>
        <v>#N/A</v>
      </c>
      <c r="O299" s="43" t="e">
        <f>NA()</f>
        <v>#N/A</v>
      </c>
      <c r="P299" s="43" t="e">
        <f>NA()</f>
        <v>#N/A</v>
      </c>
      <c r="Q299" s="43" t="e">
        <f>NA()</f>
        <v>#N/A</v>
      </c>
      <c r="R299" s="43" t="e">
        <f>NA()</f>
        <v>#N/A</v>
      </c>
      <c r="S299" s="43" t="e">
        <f>NA()</f>
        <v>#N/A</v>
      </c>
      <c r="T299" s="43" t="e">
        <f>NA()</f>
        <v>#N/A</v>
      </c>
      <c r="U299" s="43" t="e">
        <f>NA()</f>
        <v>#N/A</v>
      </c>
      <c r="V299" s="43" t="e">
        <f>NA()</f>
        <v>#N/A</v>
      </c>
      <c r="W299" s="43" t="e">
        <f>NA()</f>
        <v>#N/A</v>
      </c>
      <c r="X299" s="43" t="e">
        <f>NA()</f>
        <v>#N/A</v>
      </c>
      <c r="Y299" s="43" t="e">
        <f>NA()</f>
        <v>#N/A</v>
      </c>
      <c r="Z299" s="43" t="e">
        <f>NA()</f>
        <v>#N/A</v>
      </c>
      <c r="AA299" s="43" t="e">
        <f>NA()</f>
        <v>#N/A</v>
      </c>
      <c r="AB299" s="43" t="e">
        <f>NA()</f>
        <v>#N/A</v>
      </c>
      <c r="AC299" s="43" t="e">
        <f>NA()</f>
        <v>#N/A</v>
      </c>
      <c r="AD299" s="43" t="e">
        <f>NA()</f>
        <v>#N/A</v>
      </c>
      <c r="AE299" s="43" t="e">
        <f>NA()</f>
        <v>#N/A</v>
      </c>
      <c r="AF299" s="43" t="e">
        <f>NA()</f>
        <v>#N/A</v>
      </c>
      <c r="AG299" s="43" t="e">
        <f>NA()</f>
        <v>#N/A</v>
      </c>
      <c r="AH299" s="43" t="e">
        <f>NA()</f>
        <v>#N/A</v>
      </c>
      <c r="AI299" s="43" t="e">
        <f>NA()</f>
        <v>#N/A</v>
      </c>
      <c r="AJ299" s="43" t="e">
        <f>NA()</f>
        <v>#N/A</v>
      </c>
      <c r="AK299" s="43" t="e">
        <f>NA()</f>
        <v>#N/A</v>
      </c>
      <c r="AL299" s="43" t="e">
        <f>NA()</f>
        <v>#N/A</v>
      </c>
      <c r="AM299" s="43" t="e">
        <f>NA()</f>
        <v>#N/A</v>
      </c>
      <c r="AN299" s="43" t="e">
        <f>NA()</f>
        <v>#N/A</v>
      </c>
      <c r="AO299" s="43" t="e">
        <f>NA()</f>
        <v>#N/A</v>
      </c>
      <c r="AP299" s="43" t="e">
        <f>NA()</f>
        <v>#N/A</v>
      </c>
      <c r="AQ299" s="43" t="e">
        <f>NA()</f>
        <v>#N/A</v>
      </c>
    </row>
    <row r="300" spans="2:43">
      <c r="B300">
        <f t="shared" si="419"/>
        <v>2014</v>
      </c>
      <c r="C300">
        <f t="shared" si="420"/>
        <v>1</v>
      </c>
      <c r="D300" s="7">
        <v>41668</v>
      </c>
      <c r="E300" s="4" t="e">
        <f>NA()</f>
        <v>#N/A</v>
      </c>
      <c r="F300" s="4">
        <v>1</v>
      </c>
      <c r="G300" s="4">
        <v>0</v>
      </c>
      <c r="H300" s="10">
        <v>0</v>
      </c>
      <c r="I300" s="10" t="e">
        <v>#N/A</v>
      </c>
      <c r="J300" s="34">
        <v>12914</v>
      </c>
      <c r="K300" s="35">
        <v>41668</v>
      </c>
      <c r="L300" s="35">
        <v>41699</v>
      </c>
      <c r="M300" s="43" t="e">
        <f>NA()</f>
        <v>#N/A</v>
      </c>
      <c r="N300" s="43" t="e">
        <f>NA()</f>
        <v>#N/A</v>
      </c>
      <c r="O300" s="43" t="e">
        <f>NA()</f>
        <v>#N/A</v>
      </c>
      <c r="P300" s="43" t="e">
        <f>NA()</f>
        <v>#N/A</v>
      </c>
      <c r="Q300" s="43" t="e">
        <f>NA()</f>
        <v>#N/A</v>
      </c>
      <c r="R300" s="43" t="e">
        <f>NA()</f>
        <v>#N/A</v>
      </c>
      <c r="S300" s="43" t="e">
        <f>NA()</f>
        <v>#N/A</v>
      </c>
      <c r="T300" s="43" t="e">
        <f>NA()</f>
        <v>#N/A</v>
      </c>
      <c r="U300" s="43" t="e">
        <f>NA()</f>
        <v>#N/A</v>
      </c>
      <c r="V300" s="43" t="e">
        <f>NA()</f>
        <v>#N/A</v>
      </c>
      <c r="W300" s="43" t="e">
        <f>NA()</f>
        <v>#N/A</v>
      </c>
      <c r="X300" s="43" t="e">
        <f>NA()</f>
        <v>#N/A</v>
      </c>
      <c r="Y300" s="43" t="e">
        <f>NA()</f>
        <v>#N/A</v>
      </c>
      <c r="Z300" s="43" t="e">
        <f>NA()</f>
        <v>#N/A</v>
      </c>
      <c r="AA300" s="43" t="e">
        <f>NA()</f>
        <v>#N/A</v>
      </c>
      <c r="AB300" s="43" t="e">
        <f>NA()</f>
        <v>#N/A</v>
      </c>
      <c r="AC300" s="43" t="e">
        <f>NA()</f>
        <v>#N/A</v>
      </c>
      <c r="AD300" s="43" t="e">
        <f>NA()</f>
        <v>#N/A</v>
      </c>
      <c r="AE300" s="43" t="e">
        <f>NA()</f>
        <v>#N/A</v>
      </c>
      <c r="AF300" s="43" t="e">
        <f>NA()</f>
        <v>#N/A</v>
      </c>
      <c r="AG300" s="43" t="e">
        <f>NA()</f>
        <v>#N/A</v>
      </c>
      <c r="AH300" s="43" t="e">
        <f>NA()</f>
        <v>#N/A</v>
      </c>
      <c r="AI300" s="43" t="e">
        <f>NA()</f>
        <v>#N/A</v>
      </c>
      <c r="AJ300" s="43" t="e">
        <f>NA()</f>
        <v>#N/A</v>
      </c>
      <c r="AK300" s="43" t="e">
        <f>NA()</f>
        <v>#N/A</v>
      </c>
      <c r="AL300" s="43" t="e">
        <f>NA()</f>
        <v>#N/A</v>
      </c>
      <c r="AM300" s="43" t="e">
        <f>NA()</f>
        <v>#N/A</v>
      </c>
      <c r="AN300" s="43" t="e">
        <f>NA()</f>
        <v>#N/A</v>
      </c>
      <c r="AO300" s="43" t="e">
        <f>NA()</f>
        <v>#N/A</v>
      </c>
      <c r="AP300" s="43" t="e">
        <f>NA()</f>
        <v>#N/A</v>
      </c>
      <c r="AQ300" s="43" t="e">
        <f>NA()</f>
        <v>#N/A</v>
      </c>
    </row>
    <row r="301" spans="2:43">
      <c r="B301">
        <f t="shared" si="419"/>
        <v>2014</v>
      </c>
      <c r="C301">
        <f t="shared" si="420"/>
        <v>3</v>
      </c>
      <c r="D301" s="7">
        <v>41717</v>
      </c>
      <c r="E301" s="4" t="e">
        <f>NA()</f>
        <v>#N/A</v>
      </c>
      <c r="F301" s="4">
        <v>1</v>
      </c>
      <c r="G301" s="4">
        <v>0</v>
      </c>
      <c r="H301" s="10">
        <v>0</v>
      </c>
      <c r="I301" s="10" t="e">
        <v>#N/A</v>
      </c>
      <c r="J301" s="34">
        <v>31914</v>
      </c>
      <c r="K301" s="35">
        <v>41717</v>
      </c>
      <c r="L301" s="35">
        <v>41699</v>
      </c>
      <c r="M301" s="43" t="e">
        <f>NA()</f>
        <v>#N/A</v>
      </c>
      <c r="N301" s="43" t="e">
        <f>NA()</f>
        <v>#N/A</v>
      </c>
      <c r="O301" s="43" t="e">
        <f>NA()</f>
        <v>#N/A</v>
      </c>
      <c r="P301" s="43" t="e">
        <f>NA()</f>
        <v>#N/A</v>
      </c>
      <c r="Q301" s="43" t="e">
        <f>NA()</f>
        <v>#N/A</v>
      </c>
      <c r="R301" s="43" t="e">
        <f>NA()</f>
        <v>#N/A</v>
      </c>
      <c r="S301" s="43" t="e">
        <f>NA()</f>
        <v>#N/A</v>
      </c>
      <c r="T301" s="43" t="e">
        <f>NA()</f>
        <v>#N/A</v>
      </c>
      <c r="U301" s="43" t="e">
        <f>NA()</f>
        <v>#N/A</v>
      </c>
      <c r="V301" s="43" t="e">
        <f>NA()</f>
        <v>#N/A</v>
      </c>
      <c r="W301" s="43" t="e">
        <f>NA()</f>
        <v>#N/A</v>
      </c>
      <c r="X301" s="43" t="e">
        <f>NA()</f>
        <v>#N/A</v>
      </c>
      <c r="Y301" s="43" t="e">
        <f>NA()</f>
        <v>#N/A</v>
      </c>
      <c r="Z301" s="43" t="e">
        <f>NA()</f>
        <v>#N/A</v>
      </c>
      <c r="AA301" s="43" t="e">
        <f>NA()</f>
        <v>#N/A</v>
      </c>
      <c r="AB301" s="43" t="e">
        <f>NA()</f>
        <v>#N/A</v>
      </c>
      <c r="AC301" s="43" t="e">
        <f>NA()</f>
        <v>#N/A</v>
      </c>
      <c r="AD301" s="43" t="e">
        <f>NA()</f>
        <v>#N/A</v>
      </c>
      <c r="AE301" s="43" t="e">
        <f>NA()</f>
        <v>#N/A</v>
      </c>
      <c r="AF301" s="43" t="e">
        <f>NA()</f>
        <v>#N/A</v>
      </c>
      <c r="AG301" s="43" t="e">
        <f>NA()</f>
        <v>#N/A</v>
      </c>
      <c r="AH301" s="43" t="e">
        <f>NA()</f>
        <v>#N/A</v>
      </c>
      <c r="AI301" s="43" t="e">
        <f>NA()</f>
        <v>#N/A</v>
      </c>
      <c r="AJ301" s="43" t="e">
        <f>NA()</f>
        <v>#N/A</v>
      </c>
      <c r="AK301" s="43" t="e">
        <f>NA()</f>
        <v>#N/A</v>
      </c>
      <c r="AL301" s="43" t="e">
        <f>NA()</f>
        <v>#N/A</v>
      </c>
      <c r="AM301" s="43" t="e">
        <f>NA()</f>
        <v>#N/A</v>
      </c>
      <c r="AN301" s="43" t="e">
        <f>NA()</f>
        <v>#N/A</v>
      </c>
      <c r="AO301" s="43" t="e">
        <f>NA()</f>
        <v>#N/A</v>
      </c>
      <c r="AP301" s="43" t="e">
        <f>NA()</f>
        <v>#N/A</v>
      </c>
      <c r="AQ301" s="43" t="e">
        <f>NA()</f>
        <v>#N/A</v>
      </c>
    </row>
    <row r="302" spans="2:43">
      <c r="B302">
        <f t="shared" si="419"/>
        <v>2014</v>
      </c>
      <c r="C302">
        <f t="shared" si="420"/>
        <v>4</v>
      </c>
      <c r="D302" s="7">
        <v>41759</v>
      </c>
      <c r="E302" s="4" t="e">
        <f>NA()</f>
        <v>#N/A</v>
      </c>
      <c r="F302" s="4">
        <v>1</v>
      </c>
      <c r="G302" s="4">
        <v>0</v>
      </c>
      <c r="H302" s="10">
        <v>0</v>
      </c>
      <c r="I302" s="10" t="e">
        <v>#N/A</v>
      </c>
      <c r="J302" s="34">
        <v>43014</v>
      </c>
      <c r="K302" s="35">
        <v>41759</v>
      </c>
      <c r="L302" s="35">
        <v>41791</v>
      </c>
      <c r="M302" s="43" t="e">
        <f>NA()</f>
        <v>#N/A</v>
      </c>
      <c r="N302" s="43" t="e">
        <f>NA()</f>
        <v>#N/A</v>
      </c>
      <c r="O302" s="43" t="e">
        <f>NA()</f>
        <v>#N/A</v>
      </c>
      <c r="P302" s="43" t="e">
        <f>NA()</f>
        <v>#N/A</v>
      </c>
      <c r="Q302" s="43" t="e">
        <f>NA()</f>
        <v>#N/A</v>
      </c>
      <c r="R302" s="43" t="e">
        <f>NA()</f>
        <v>#N/A</v>
      </c>
      <c r="S302" s="43" t="e">
        <f>NA()</f>
        <v>#N/A</v>
      </c>
      <c r="T302" s="43" t="e">
        <f>NA()</f>
        <v>#N/A</v>
      </c>
      <c r="U302" s="43" t="e">
        <f>NA()</f>
        <v>#N/A</v>
      </c>
      <c r="V302" s="43" t="e">
        <f>NA()</f>
        <v>#N/A</v>
      </c>
      <c r="W302" s="43" t="e">
        <f>NA()</f>
        <v>#N/A</v>
      </c>
      <c r="X302" s="43" t="e">
        <f>NA()</f>
        <v>#N/A</v>
      </c>
      <c r="Y302" s="43" t="e">
        <f>NA()</f>
        <v>#N/A</v>
      </c>
      <c r="Z302" s="43" t="e">
        <f>NA()</f>
        <v>#N/A</v>
      </c>
      <c r="AA302" s="43" t="e">
        <f>NA()</f>
        <v>#N/A</v>
      </c>
      <c r="AB302" s="43" t="e">
        <f>NA()</f>
        <v>#N/A</v>
      </c>
      <c r="AC302" s="43" t="e">
        <f>NA()</f>
        <v>#N/A</v>
      </c>
      <c r="AD302" s="43" t="e">
        <f>NA()</f>
        <v>#N/A</v>
      </c>
      <c r="AE302" s="43" t="e">
        <f>NA()</f>
        <v>#N/A</v>
      </c>
      <c r="AF302" s="43" t="e">
        <f>NA()</f>
        <v>#N/A</v>
      </c>
      <c r="AG302" s="43" t="e">
        <f>NA()</f>
        <v>#N/A</v>
      </c>
      <c r="AH302" s="43" t="e">
        <f>NA()</f>
        <v>#N/A</v>
      </c>
      <c r="AI302" s="43" t="e">
        <f>NA()</f>
        <v>#N/A</v>
      </c>
      <c r="AJ302" s="43" t="e">
        <f>NA()</f>
        <v>#N/A</v>
      </c>
      <c r="AK302" s="43" t="e">
        <f>NA()</f>
        <v>#N/A</v>
      </c>
      <c r="AL302" s="43" t="e">
        <f>NA()</f>
        <v>#N/A</v>
      </c>
      <c r="AM302" s="43" t="e">
        <f>NA()</f>
        <v>#N/A</v>
      </c>
      <c r="AN302" s="43" t="e">
        <f>NA()</f>
        <v>#N/A</v>
      </c>
      <c r="AO302" s="43" t="e">
        <f>NA()</f>
        <v>#N/A</v>
      </c>
      <c r="AP302" s="43" t="e">
        <f>NA()</f>
        <v>#N/A</v>
      </c>
      <c r="AQ302" s="43" t="e">
        <f>NA()</f>
        <v>#N/A</v>
      </c>
    </row>
    <row r="303" spans="2:43">
      <c r="D303" s="35"/>
      <c r="J303" s="34"/>
      <c r="K303" s="35"/>
      <c r="L303" s="16"/>
      <c r="M303" s="43"/>
      <c r="N303" s="16"/>
      <c r="O303" s="36"/>
      <c r="P303" s="36"/>
      <c r="Q303" s="37"/>
      <c r="R303" s="37"/>
      <c r="S303" s="39"/>
      <c r="T303" s="39"/>
      <c r="U303" s="39"/>
      <c r="V303" s="37"/>
      <c r="W303" s="37"/>
      <c r="X303" s="37"/>
      <c r="Y303" s="37"/>
      <c r="Z303" s="37"/>
      <c r="AA303" s="37"/>
      <c r="AB303" s="37"/>
      <c r="AC303" s="37"/>
      <c r="AD303" s="37"/>
      <c r="AE303" s="37"/>
      <c r="AF303" s="37"/>
      <c r="AG303" s="37"/>
      <c r="AH303" s="37"/>
      <c r="AI303" s="37"/>
      <c r="AJ303" s="16"/>
      <c r="AK303" s="16"/>
      <c r="AL303" s="16"/>
      <c r="AM303" s="16"/>
      <c r="AN303" s="16"/>
      <c r="AO303" s="16"/>
      <c r="AP303" s="16"/>
      <c r="AQ303" s="16"/>
    </row>
    <row r="304" spans="2:43">
      <c r="D304" s="35"/>
      <c r="J304" s="34"/>
      <c r="K304" s="35"/>
      <c r="L304" s="16"/>
      <c r="M304" s="43"/>
      <c r="N304" s="16"/>
      <c r="O304" s="36"/>
      <c r="P304" s="36"/>
      <c r="Q304" s="37"/>
      <c r="R304" s="37"/>
      <c r="S304" s="39"/>
      <c r="T304" s="39"/>
      <c r="U304" s="39"/>
      <c r="V304" s="37"/>
      <c r="W304" s="37"/>
      <c r="X304" s="37"/>
      <c r="Y304" s="37"/>
      <c r="Z304" s="37"/>
      <c r="AA304" s="37"/>
      <c r="AB304" s="37"/>
      <c r="AC304" s="37"/>
      <c r="AD304" s="37"/>
      <c r="AE304" s="37"/>
      <c r="AF304" s="37"/>
      <c r="AG304" s="37"/>
      <c r="AH304" s="37"/>
      <c r="AI304" s="37"/>
      <c r="AJ304" s="16"/>
      <c r="AK304" s="16"/>
      <c r="AL304" s="16"/>
      <c r="AM304" s="16"/>
      <c r="AN304" s="16"/>
      <c r="AO304" s="16"/>
      <c r="AP304" s="16"/>
      <c r="AQ304" s="16"/>
    </row>
    <row r="305" spans="4:43">
      <c r="D305" s="35"/>
      <c r="J305" s="34"/>
      <c r="K305" s="35"/>
      <c r="L305" s="16"/>
      <c r="M305" s="43"/>
      <c r="N305" s="16"/>
      <c r="O305" s="36"/>
      <c r="P305" s="36"/>
      <c r="Q305" s="37"/>
      <c r="R305" s="37"/>
      <c r="S305" s="39"/>
      <c r="T305" s="39"/>
      <c r="U305" s="39"/>
      <c r="V305" s="37"/>
      <c r="W305" s="37"/>
      <c r="X305" s="37"/>
      <c r="Y305" s="37"/>
      <c r="Z305" s="37"/>
      <c r="AA305" s="37"/>
      <c r="AB305" s="37"/>
      <c r="AC305" s="37"/>
      <c r="AD305" s="37"/>
      <c r="AE305" s="37"/>
      <c r="AF305" s="37"/>
      <c r="AG305" s="37"/>
      <c r="AH305" s="37"/>
      <c r="AI305" s="37"/>
      <c r="AJ305" s="16"/>
      <c r="AK305" s="16"/>
      <c r="AL305" s="16"/>
      <c r="AM305" s="16"/>
      <c r="AN305" s="16"/>
      <c r="AO305" s="16"/>
      <c r="AP305" s="16"/>
      <c r="AQ305" s="16"/>
    </row>
    <row r="306" spans="4:43">
      <c r="D306" s="35"/>
      <c r="J306" s="34"/>
      <c r="K306" s="35"/>
      <c r="L306" s="16"/>
      <c r="M306" s="43"/>
      <c r="N306" s="16"/>
      <c r="O306" s="36"/>
      <c r="P306" s="36"/>
      <c r="Q306" s="37"/>
      <c r="R306" s="37"/>
      <c r="S306" s="39"/>
      <c r="T306" s="39"/>
      <c r="U306" s="39"/>
      <c r="V306" s="37"/>
      <c r="W306" s="37"/>
      <c r="X306" s="37"/>
      <c r="Y306" s="37"/>
      <c r="Z306" s="37"/>
      <c r="AA306" s="37"/>
      <c r="AB306" s="37"/>
      <c r="AC306" s="37"/>
      <c r="AD306" s="37"/>
      <c r="AE306" s="37"/>
      <c r="AF306" s="37"/>
      <c r="AG306" s="37"/>
      <c r="AH306" s="37"/>
      <c r="AI306" s="37"/>
      <c r="AJ306" s="16"/>
      <c r="AK306" s="16"/>
      <c r="AL306" s="16"/>
      <c r="AM306" s="16"/>
      <c r="AN306" s="16"/>
      <c r="AO306" s="16"/>
      <c r="AP306" s="16"/>
      <c r="AQ306" s="16"/>
    </row>
    <row r="307" spans="4:43">
      <c r="D307" s="35"/>
      <c r="J307" s="34"/>
      <c r="K307" s="35"/>
      <c r="L307" s="16"/>
      <c r="M307" s="43"/>
      <c r="N307" s="16"/>
      <c r="O307" s="36"/>
      <c r="P307" s="36"/>
      <c r="Q307" s="37"/>
      <c r="R307" s="37"/>
      <c r="S307" s="39"/>
      <c r="T307" s="39"/>
      <c r="U307" s="39"/>
      <c r="V307" s="37"/>
      <c r="W307" s="37"/>
      <c r="X307" s="37"/>
      <c r="Y307" s="37"/>
      <c r="Z307" s="37"/>
      <c r="AA307" s="37"/>
      <c r="AB307" s="37"/>
      <c r="AC307" s="37"/>
      <c r="AD307" s="37"/>
      <c r="AE307" s="37"/>
      <c r="AF307" s="37"/>
      <c r="AG307" s="37"/>
      <c r="AH307" s="37"/>
      <c r="AI307" s="37"/>
      <c r="AJ307" s="16"/>
      <c r="AK307" s="16"/>
      <c r="AL307" s="16"/>
      <c r="AM307" s="16"/>
      <c r="AN307" s="16"/>
      <c r="AO307" s="16"/>
      <c r="AP307" s="16"/>
      <c r="AQ307" s="16"/>
    </row>
    <row r="308" spans="4:43">
      <c r="D308" s="35"/>
      <c r="J308" s="34"/>
      <c r="K308" s="35"/>
      <c r="L308" s="16"/>
      <c r="M308" s="43"/>
      <c r="N308" s="16"/>
      <c r="O308" s="36"/>
      <c r="P308" s="36"/>
      <c r="Q308" s="37"/>
      <c r="R308" s="37"/>
      <c r="S308" s="39"/>
      <c r="T308" s="39"/>
      <c r="U308" s="39"/>
      <c r="V308" s="37"/>
      <c r="W308" s="37"/>
      <c r="X308" s="37"/>
      <c r="Y308" s="37"/>
      <c r="Z308" s="37"/>
      <c r="AA308" s="37"/>
      <c r="AB308" s="37"/>
      <c r="AC308" s="37"/>
      <c r="AD308" s="37"/>
      <c r="AE308" s="37"/>
      <c r="AF308" s="37"/>
      <c r="AG308" s="37"/>
      <c r="AH308" s="37"/>
      <c r="AI308" s="37"/>
      <c r="AJ308" s="16"/>
      <c r="AK308" s="16"/>
      <c r="AL308" s="16"/>
      <c r="AM308" s="16"/>
      <c r="AN308" s="16"/>
      <c r="AO308" s="16"/>
      <c r="AP308" s="16"/>
      <c r="AQ308" s="16"/>
    </row>
    <row r="309" spans="4:43">
      <c r="D309" s="35"/>
      <c r="J309" s="34"/>
      <c r="K309" s="35"/>
      <c r="L309" s="16"/>
      <c r="M309" s="43"/>
      <c r="N309" s="16"/>
      <c r="O309" s="36"/>
      <c r="P309" s="36"/>
      <c r="Q309" s="37"/>
      <c r="R309" s="37"/>
      <c r="S309" s="39"/>
      <c r="T309" s="39"/>
      <c r="U309" s="39"/>
      <c r="V309" s="37"/>
      <c r="W309" s="37"/>
      <c r="X309" s="37"/>
      <c r="Y309" s="37"/>
      <c r="Z309" s="37"/>
      <c r="AA309" s="37"/>
      <c r="AB309" s="37"/>
      <c r="AC309" s="37"/>
      <c r="AD309" s="37"/>
      <c r="AE309" s="37"/>
      <c r="AF309" s="37"/>
      <c r="AG309" s="37"/>
      <c r="AH309" s="37"/>
      <c r="AI309" s="37"/>
      <c r="AJ309" s="16"/>
      <c r="AK309" s="16"/>
      <c r="AL309" s="16"/>
      <c r="AM309" s="16"/>
      <c r="AN309" s="16"/>
      <c r="AO309" s="16"/>
      <c r="AP309" s="16"/>
      <c r="AQ309" s="16"/>
    </row>
    <row r="310" spans="4:43">
      <c r="D310" s="35"/>
      <c r="J310" s="34"/>
      <c r="K310" s="35"/>
      <c r="L310" s="16"/>
      <c r="M310" s="43"/>
      <c r="N310" s="16"/>
      <c r="O310" s="36"/>
      <c r="P310" s="36"/>
      <c r="Q310" s="37"/>
      <c r="R310" s="37"/>
      <c r="S310" s="39"/>
      <c r="T310" s="39"/>
      <c r="U310" s="39"/>
      <c r="V310" s="37"/>
      <c r="W310" s="37"/>
      <c r="X310" s="37"/>
      <c r="Y310" s="37"/>
      <c r="Z310" s="37"/>
      <c r="AA310" s="37"/>
      <c r="AB310" s="37"/>
      <c r="AC310" s="37"/>
      <c r="AD310" s="37"/>
      <c r="AE310" s="37"/>
      <c r="AF310" s="37"/>
      <c r="AG310" s="37"/>
      <c r="AH310" s="37"/>
      <c r="AI310" s="37"/>
      <c r="AJ310" s="16"/>
      <c r="AK310" s="16"/>
      <c r="AL310" s="16"/>
      <c r="AM310" s="16"/>
      <c r="AN310" s="16"/>
      <c r="AO310" s="16"/>
      <c r="AP310" s="16"/>
      <c r="AQ310" s="16"/>
    </row>
    <row r="311" spans="4:43">
      <c r="D311" s="35"/>
      <c r="J311" s="34"/>
      <c r="K311" s="35"/>
      <c r="L311" s="16"/>
      <c r="M311" s="43"/>
      <c r="N311" s="16"/>
      <c r="O311" s="36"/>
      <c r="P311" s="36"/>
      <c r="Q311" s="37"/>
      <c r="R311" s="37"/>
      <c r="S311" s="39"/>
      <c r="T311" s="39"/>
      <c r="U311" s="39"/>
      <c r="V311" s="37"/>
      <c r="W311" s="37"/>
      <c r="X311" s="37"/>
      <c r="Y311" s="37"/>
      <c r="Z311" s="37"/>
      <c r="AA311" s="37"/>
      <c r="AB311" s="37"/>
      <c r="AC311" s="37"/>
      <c r="AD311" s="37"/>
      <c r="AE311" s="37"/>
      <c r="AF311" s="37"/>
      <c r="AG311" s="37"/>
      <c r="AH311" s="37"/>
      <c r="AI311" s="37"/>
      <c r="AJ311" s="16"/>
      <c r="AK311" s="16"/>
      <c r="AL311" s="16"/>
      <c r="AM311" s="16"/>
      <c r="AN311" s="16"/>
      <c r="AO311" s="16"/>
      <c r="AP311" s="16"/>
      <c r="AQ311" s="16"/>
    </row>
    <row r="312" spans="4:43">
      <c r="D312" s="35"/>
      <c r="J312" s="34"/>
      <c r="K312" s="35"/>
      <c r="L312" s="16"/>
      <c r="M312" s="43"/>
      <c r="N312" s="16"/>
      <c r="O312" s="36"/>
      <c r="P312" s="36"/>
      <c r="Q312" s="37"/>
      <c r="R312" s="37"/>
      <c r="S312" s="39"/>
      <c r="T312" s="39"/>
      <c r="U312" s="39"/>
      <c r="V312" s="37"/>
      <c r="W312" s="37"/>
      <c r="X312" s="37"/>
      <c r="Y312" s="37"/>
      <c r="Z312" s="37"/>
      <c r="AA312" s="37"/>
      <c r="AB312" s="37"/>
      <c r="AC312" s="37"/>
      <c r="AD312" s="37"/>
      <c r="AE312" s="37"/>
      <c r="AF312" s="37"/>
      <c r="AG312" s="37"/>
      <c r="AH312" s="37"/>
      <c r="AI312" s="37"/>
      <c r="AJ312" s="16"/>
      <c r="AK312" s="16"/>
      <c r="AL312" s="16"/>
      <c r="AM312" s="16"/>
      <c r="AN312" s="16"/>
      <c r="AO312" s="16"/>
      <c r="AP312" s="16"/>
      <c r="AQ312" s="16"/>
    </row>
    <row r="313" spans="4:43">
      <c r="D313" s="35"/>
      <c r="J313" s="34"/>
      <c r="K313" s="35"/>
      <c r="L313" s="16"/>
      <c r="M313" s="43"/>
      <c r="N313" s="16"/>
      <c r="O313" s="36"/>
      <c r="P313" s="36"/>
      <c r="Q313" s="37"/>
      <c r="R313" s="37"/>
      <c r="S313" s="39"/>
      <c r="T313" s="39"/>
      <c r="U313" s="39"/>
      <c r="V313" s="37"/>
      <c r="W313" s="37"/>
      <c r="X313" s="37"/>
      <c r="Y313" s="37"/>
      <c r="Z313" s="37"/>
      <c r="AA313" s="37"/>
      <c r="AB313" s="37"/>
      <c r="AC313" s="37"/>
      <c r="AD313" s="37"/>
      <c r="AE313" s="37"/>
      <c r="AF313" s="37"/>
      <c r="AG313" s="37"/>
      <c r="AH313" s="37"/>
      <c r="AI313" s="37"/>
      <c r="AJ313" s="16"/>
      <c r="AK313" s="16"/>
      <c r="AL313" s="16"/>
      <c r="AM313" s="16"/>
      <c r="AN313" s="16"/>
      <c r="AO313" s="16"/>
      <c r="AP313" s="16"/>
      <c r="AQ313" s="16"/>
    </row>
    <row r="314" spans="4:43">
      <c r="D314" s="35"/>
      <c r="J314" s="34"/>
      <c r="K314" s="35"/>
      <c r="L314" s="16"/>
      <c r="M314" s="43"/>
      <c r="N314" s="16"/>
      <c r="O314" s="36"/>
      <c r="P314" s="36"/>
      <c r="Q314" s="37"/>
      <c r="R314" s="37"/>
      <c r="S314" s="39"/>
      <c r="T314" s="39"/>
      <c r="U314" s="39"/>
      <c r="V314" s="37"/>
      <c r="W314" s="37"/>
      <c r="X314" s="37"/>
      <c r="Y314" s="37"/>
      <c r="Z314" s="37"/>
      <c r="AA314" s="37"/>
      <c r="AB314" s="37"/>
      <c r="AC314" s="37"/>
      <c r="AD314" s="37"/>
      <c r="AE314" s="37"/>
      <c r="AF314" s="37"/>
      <c r="AG314" s="37"/>
      <c r="AH314" s="37"/>
      <c r="AI314" s="37"/>
      <c r="AJ314" s="16"/>
      <c r="AK314" s="16"/>
      <c r="AL314" s="16"/>
      <c r="AM314" s="16"/>
      <c r="AN314" s="16"/>
      <c r="AO314" s="16"/>
      <c r="AP314" s="16"/>
      <c r="AQ314" s="16"/>
    </row>
    <row r="315" spans="4:43">
      <c r="D315" s="35"/>
      <c r="J315" s="34"/>
      <c r="K315" s="35"/>
      <c r="L315" s="16"/>
      <c r="M315" s="43"/>
      <c r="N315" s="16"/>
      <c r="O315" s="36"/>
      <c r="P315" s="36"/>
      <c r="Q315" s="37"/>
      <c r="R315" s="37"/>
      <c r="S315" s="39"/>
      <c r="T315" s="39"/>
      <c r="U315" s="39"/>
      <c r="V315" s="37"/>
      <c r="W315" s="37"/>
      <c r="X315" s="37"/>
      <c r="Y315" s="37"/>
      <c r="Z315" s="37"/>
      <c r="AA315" s="37"/>
      <c r="AB315" s="37"/>
      <c r="AC315" s="37"/>
      <c r="AD315" s="37"/>
      <c r="AE315" s="37"/>
      <c r="AF315" s="37"/>
      <c r="AG315" s="37"/>
      <c r="AH315" s="37"/>
      <c r="AI315" s="37"/>
      <c r="AJ315" s="16"/>
      <c r="AK315" s="16"/>
      <c r="AL315" s="16"/>
      <c r="AM315" s="16"/>
      <c r="AN315" s="16"/>
      <c r="AO315" s="16"/>
      <c r="AP315" s="16"/>
      <c r="AQ315" s="16"/>
    </row>
    <row r="316" spans="4:43">
      <c r="D316" s="35"/>
      <c r="J316" s="34"/>
      <c r="K316" s="35"/>
      <c r="L316" s="16"/>
      <c r="M316" s="43"/>
      <c r="N316" s="16"/>
      <c r="O316" s="36"/>
      <c r="P316" s="36"/>
      <c r="Q316" s="37"/>
      <c r="R316" s="37"/>
      <c r="S316" s="39"/>
      <c r="T316" s="39"/>
      <c r="U316" s="39"/>
      <c r="V316" s="37"/>
      <c r="W316" s="37"/>
      <c r="X316" s="37"/>
      <c r="Y316" s="37"/>
      <c r="Z316" s="37"/>
      <c r="AA316" s="37"/>
      <c r="AB316" s="37"/>
      <c r="AC316" s="37"/>
      <c r="AD316" s="37"/>
      <c r="AE316" s="37"/>
      <c r="AF316" s="37"/>
      <c r="AG316" s="37"/>
      <c r="AH316" s="37"/>
      <c r="AI316" s="37"/>
      <c r="AJ316" s="16"/>
      <c r="AK316" s="16"/>
      <c r="AL316" s="16"/>
      <c r="AM316" s="16"/>
      <c r="AN316" s="16"/>
      <c r="AO316" s="16"/>
      <c r="AP316" s="16"/>
      <c r="AQ316" s="16"/>
    </row>
    <row r="317" spans="4:43">
      <c r="D317" s="35"/>
      <c r="J317" s="34"/>
      <c r="K317" s="35"/>
      <c r="L317" s="16"/>
      <c r="M317" s="43"/>
      <c r="N317" s="16"/>
      <c r="O317" s="36"/>
      <c r="P317" s="36"/>
      <c r="Q317" s="37"/>
      <c r="R317" s="37"/>
      <c r="S317" s="39"/>
      <c r="T317" s="39"/>
      <c r="U317" s="39"/>
      <c r="V317" s="37"/>
      <c r="W317" s="37"/>
      <c r="X317" s="37"/>
      <c r="Y317" s="37"/>
      <c r="Z317" s="37"/>
      <c r="AA317" s="37"/>
      <c r="AB317" s="37"/>
      <c r="AC317" s="37"/>
      <c r="AD317" s="37"/>
      <c r="AE317" s="37"/>
      <c r="AF317" s="37"/>
      <c r="AG317" s="37"/>
      <c r="AH317" s="37"/>
      <c r="AI317" s="37"/>
      <c r="AJ317" s="16"/>
      <c r="AK317" s="16"/>
      <c r="AL317" s="16"/>
      <c r="AM317" s="16"/>
      <c r="AN317" s="16"/>
      <c r="AO317" s="16"/>
      <c r="AP317" s="16"/>
      <c r="AQ317" s="16"/>
    </row>
    <row r="318" spans="4:43">
      <c r="D318" s="35"/>
      <c r="J318" s="34"/>
      <c r="K318" s="35"/>
      <c r="L318" s="16"/>
      <c r="M318" s="43"/>
      <c r="N318" s="16"/>
      <c r="O318" s="36"/>
      <c r="P318" s="36"/>
      <c r="Q318" s="37"/>
      <c r="R318" s="37"/>
      <c r="S318" s="39"/>
      <c r="T318" s="39"/>
      <c r="U318" s="39"/>
      <c r="V318" s="37"/>
      <c r="W318" s="37"/>
      <c r="X318" s="37"/>
      <c r="Y318" s="37"/>
      <c r="Z318" s="37"/>
      <c r="AA318" s="37"/>
      <c r="AB318" s="37"/>
      <c r="AC318" s="37"/>
      <c r="AD318" s="37"/>
      <c r="AE318" s="37"/>
      <c r="AF318" s="37"/>
      <c r="AG318" s="37"/>
      <c r="AH318" s="37"/>
      <c r="AI318" s="37"/>
      <c r="AJ318" s="16"/>
      <c r="AK318" s="16"/>
      <c r="AL318" s="16"/>
      <c r="AM318" s="16"/>
      <c r="AN318" s="16"/>
      <c r="AO318" s="16"/>
      <c r="AP318" s="16"/>
      <c r="AQ318" s="16"/>
    </row>
    <row r="319" spans="4:43">
      <c r="D319" s="35"/>
      <c r="J319" s="34"/>
      <c r="K319" s="35"/>
      <c r="L319" s="16"/>
      <c r="M319" s="43"/>
      <c r="N319" s="16"/>
      <c r="O319" s="36"/>
      <c r="P319" s="36"/>
      <c r="Q319" s="37"/>
      <c r="R319" s="37"/>
      <c r="S319" s="39"/>
      <c r="T319" s="39"/>
      <c r="U319" s="39"/>
      <c r="V319" s="37"/>
      <c r="W319" s="37"/>
      <c r="X319" s="37"/>
      <c r="Y319" s="37"/>
      <c r="Z319" s="37"/>
      <c r="AA319" s="37"/>
      <c r="AB319" s="37"/>
      <c r="AC319" s="37"/>
      <c r="AD319" s="37"/>
      <c r="AE319" s="37"/>
      <c r="AF319" s="37"/>
      <c r="AG319" s="37"/>
      <c r="AH319" s="37"/>
      <c r="AI319" s="37"/>
      <c r="AJ319" s="16"/>
      <c r="AK319" s="16"/>
      <c r="AL319" s="16"/>
      <c r="AM319" s="16"/>
      <c r="AN319" s="16"/>
      <c r="AO319" s="16"/>
      <c r="AP319" s="16"/>
      <c r="AQ319" s="16"/>
    </row>
    <row r="320" spans="4:43">
      <c r="D320" s="35"/>
      <c r="J320" s="34"/>
      <c r="K320" s="35"/>
      <c r="L320" s="16"/>
      <c r="M320" s="43"/>
      <c r="N320" s="16"/>
      <c r="O320" s="36"/>
      <c r="P320" s="36"/>
      <c r="Q320" s="37"/>
      <c r="R320" s="37"/>
      <c r="S320" s="39"/>
      <c r="T320" s="39"/>
      <c r="U320" s="39"/>
      <c r="V320" s="37"/>
      <c r="W320" s="37"/>
      <c r="X320" s="37"/>
      <c r="Y320" s="37"/>
      <c r="Z320" s="37"/>
      <c r="AA320" s="37"/>
      <c r="AB320" s="37"/>
      <c r="AC320" s="37"/>
      <c r="AD320" s="37"/>
      <c r="AE320" s="37"/>
      <c r="AF320" s="37"/>
      <c r="AG320" s="37"/>
      <c r="AH320" s="37"/>
      <c r="AI320" s="37"/>
      <c r="AJ320" s="16"/>
      <c r="AK320" s="16"/>
      <c r="AL320" s="16"/>
      <c r="AM320" s="16"/>
      <c r="AN320" s="16"/>
      <c r="AO320" s="16"/>
      <c r="AP320" s="16"/>
      <c r="AQ320" s="16"/>
    </row>
    <row r="321" spans="4:43">
      <c r="D321" s="35"/>
      <c r="J321" s="34"/>
      <c r="K321" s="35"/>
      <c r="L321" s="16"/>
      <c r="M321" s="43"/>
      <c r="N321" s="16"/>
      <c r="O321" s="36"/>
      <c r="P321" s="36"/>
      <c r="Q321" s="37"/>
      <c r="R321" s="37"/>
      <c r="S321" s="39"/>
      <c r="T321" s="39"/>
      <c r="U321" s="39"/>
      <c r="V321" s="37"/>
      <c r="W321" s="37"/>
      <c r="X321" s="37"/>
      <c r="Y321" s="37"/>
      <c r="Z321" s="37"/>
      <c r="AA321" s="37"/>
      <c r="AB321" s="37"/>
      <c r="AC321" s="37"/>
      <c r="AD321" s="37"/>
      <c r="AE321" s="37"/>
      <c r="AF321" s="37"/>
      <c r="AG321" s="37"/>
      <c r="AH321" s="37"/>
      <c r="AI321" s="37"/>
      <c r="AJ321" s="16"/>
      <c r="AK321" s="16"/>
      <c r="AL321" s="16"/>
      <c r="AM321" s="16"/>
      <c r="AN321" s="16"/>
      <c r="AO321" s="16"/>
      <c r="AP321" s="16"/>
      <c r="AQ321" s="16"/>
    </row>
    <row r="322" spans="4:43">
      <c r="D322" s="35"/>
      <c r="J322" s="34"/>
      <c r="K322" s="35"/>
      <c r="L322" s="16"/>
      <c r="M322" s="43"/>
      <c r="N322" s="16"/>
      <c r="O322" s="36"/>
      <c r="P322" s="36"/>
      <c r="Q322" s="37"/>
      <c r="R322" s="37"/>
      <c r="S322" s="39"/>
      <c r="T322" s="39"/>
      <c r="U322" s="39"/>
      <c r="V322" s="37"/>
      <c r="W322" s="37"/>
      <c r="X322" s="37"/>
      <c r="Y322" s="37"/>
      <c r="Z322" s="37"/>
      <c r="AA322" s="37"/>
      <c r="AB322" s="37"/>
      <c r="AC322" s="37"/>
      <c r="AD322" s="37"/>
      <c r="AE322" s="37"/>
      <c r="AF322" s="37"/>
      <c r="AG322" s="37"/>
      <c r="AH322" s="37"/>
      <c r="AI322" s="37"/>
      <c r="AJ322" s="16"/>
      <c r="AK322" s="16"/>
      <c r="AL322" s="16"/>
      <c r="AM322" s="16"/>
      <c r="AN322" s="16"/>
      <c r="AO322" s="16"/>
      <c r="AP322" s="16"/>
      <c r="AQ322" s="16"/>
    </row>
    <row r="323" spans="4:43">
      <c r="D323" s="35"/>
      <c r="J323" s="34"/>
      <c r="K323" s="35"/>
      <c r="L323" s="16"/>
      <c r="M323" s="43"/>
      <c r="N323" s="16"/>
      <c r="O323" s="36"/>
      <c r="P323" s="36"/>
      <c r="Q323" s="37"/>
      <c r="R323" s="37"/>
      <c r="S323" s="39"/>
      <c r="T323" s="39"/>
      <c r="U323" s="39"/>
      <c r="V323" s="37"/>
      <c r="W323" s="37"/>
      <c r="X323" s="37"/>
      <c r="Y323" s="37"/>
      <c r="Z323" s="37"/>
      <c r="AA323" s="37"/>
      <c r="AB323" s="37"/>
      <c r="AC323" s="37"/>
      <c r="AD323" s="37"/>
      <c r="AE323" s="37"/>
      <c r="AF323" s="37"/>
      <c r="AG323" s="37"/>
      <c r="AH323" s="37"/>
      <c r="AI323" s="37"/>
      <c r="AJ323" s="16"/>
      <c r="AK323" s="16"/>
      <c r="AL323" s="16"/>
      <c r="AM323" s="16"/>
      <c r="AN323" s="16"/>
      <c r="AO323" s="16"/>
      <c r="AP323" s="16"/>
      <c r="AQ323" s="16"/>
    </row>
    <row r="324" spans="4:43">
      <c r="D324" s="35"/>
      <c r="J324" s="34"/>
      <c r="K324" s="35"/>
      <c r="L324" s="16"/>
      <c r="M324" s="43"/>
      <c r="N324" s="16"/>
      <c r="O324" s="36"/>
      <c r="P324" s="36"/>
      <c r="Q324" s="37"/>
      <c r="R324" s="37"/>
      <c r="S324" s="39"/>
      <c r="T324" s="39"/>
      <c r="U324" s="39"/>
      <c r="V324" s="37"/>
      <c r="W324" s="37"/>
      <c r="X324" s="37"/>
      <c r="Y324" s="37"/>
      <c r="Z324" s="37"/>
      <c r="AA324" s="37"/>
      <c r="AB324" s="37"/>
      <c r="AC324" s="37"/>
      <c r="AD324" s="37"/>
      <c r="AE324" s="37"/>
      <c r="AF324" s="37"/>
      <c r="AG324" s="37"/>
      <c r="AH324" s="37"/>
      <c r="AI324" s="37"/>
      <c r="AJ324" s="16"/>
      <c r="AK324" s="16"/>
      <c r="AL324" s="16"/>
      <c r="AM324" s="16"/>
      <c r="AN324" s="16"/>
      <c r="AO324" s="16"/>
      <c r="AP324" s="16"/>
      <c r="AQ324" s="16"/>
    </row>
    <row r="325" spans="4:43">
      <c r="D325" s="35"/>
      <c r="J325" s="34"/>
      <c r="K325" s="35"/>
      <c r="L325" s="16"/>
      <c r="M325" s="43"/>
      <c r="N325" s="16"/>
      <c r="O325" s="36"/>
      <c r="P325" s="36"/>
      <c r="Q325" s="37"/>
      <c r="R325" s="37"/>
      <c r="S325" s="38"/>
      <c r="T325" s="38"/>
      <c r="U325" s="38"/>
      <c r="V325" s="37"/>
      <c r="W325" s="37"/>
      <c r="X325" s="37"/>
      <c r="Y325" s="37"/>
      <c r="Z325" s="37"/>
      <c r="AA325" s="37"/>
      <c r="AB325" s="37"/>
      <c r="AC325" s="37"/>
      <c r="AD325" s="37"/>
      <c r="AE325" s="37"/>
      <c r="AF325" s="37"/>
      <c r="AG325" s="37"/>
      <c r="AH325" s="37"/>
      <c r="AI325" s="37"/>
      <c r="AJ325" s="16"/>
      <c r="AK325" s="16"/>
      <c r="AL325" s="16"/>
      <c r="AM325" s="16"/>
      <c r="AN325" s="16"/>
      <c r="AO325" s="16"/>
      <c r="AP325" s="16"/>
      <c r="AQ325" s="16"/>
    </row>
    <row r="326" spans="4:43">
      <c r="D326" s="35"/>
      <c r="J326" s="34"/>
      <c r="K326" s="35"/>
      <c r="L326" s="16"/>
      <c r="M326" s="43"/>
      <c r="N326" s="16"/>
      <c r="O326" s="36"/>
      <c r="P326" s="36"/>
      <c r="Q326" s="37"/>
      <c r="R326" s="37"/>
      <c r="S326" s="38"/>
      <c r="T326" s="38"/>
      <c r="U326" s="38"/>
      <c r="V326" s="37"/>
      <c r="W326" s="37"/>
      <c r="X326" s="37"/>
      <c r="Y326" s="37"/>
      <c r="Z326" s="37"/>
      <c r="AA326" s="37"/>
      <c r="AB326" s="37"/>
      <c r="AC326" s="37"/>
      <c r="AD326" s="37"/>
      <c r="AE326" s="37"/>
      <c r="AF326" s="37"/>
      <c r="AG326" s="37"/>
      <c r="AH326" s="37"/>
      <c r="AI326" s="37"/>
      <c r="AJ326" s="16"/>
      <c r="AK326" s="16"/>
      <c r="AL326" s="16"/>
      <c r="AM326" s="16"/>
      <c r="AN326" s="16"/>
      <c r="AO326" s="16"/>
      <c r="AP326" s="16"/>
      <c r="AQ326" s="16"/>
    </row>
    <row r="327" spans="4:43">
      <c r="D327" s="35"/>
      <c r="J327" s="34"/>
      <c r="K327" s="35"/>
      <c r="L327" s="16"/>
      <c r="M327" s="43"/>
      <c r="N327" s="16"/>
      <c r="O327" s="36"/>
      <c r="P327" s="36"/>
      <c r="Q327" s="37"/>
      <c r="R327" s="37"/>
      <c r="S327" s="38"/>
      <c r="T327" s="38"/>
      <c r="U327" s="38"/>
      <c r="V327" s="37"/>
      <c r="W327" s="37"/>
      <c r="X327" s="37"/>
      <c r="Y327" s="37"/>
      <c r="Z327" s="37"/>
      <c r="AA327" s="37"/>
      <c r="AB327" s="37"/>
      <c r="AC327" s="37"/>
      <c r="AD327" s="37"/>
      <c r="AE327" s="37"/>
      <c r="AF327" s="37"/>
      <c r="AG327" s="37"/>
      <c r="AH327" s="37"/>
      <c r="AI327" s="37"/>
      <c r="AJ327" s="16"/>
      <c r="AK327" s="16"/>
      <c r="AL327" s="16"/>
      <c r="AM327" s="16"/>
      <c r="AN327" s="16"/>
      <c r="AO327" s="16"/>
      <c r="AP327" s="16"/>
      <c r="AQ327" s="16"/>
    </row>
    <row r="328" spans="4:43">
      <c r="D328" s="35"/>
      <c r="J328" s="34"/>
      <c r="K328" s="35"/>
      <c r="L328" s="16"/>
      <c r="M328" s="43"/>
      <c r="N328" s="16"/>
      <c r="O328" s="36"/>
      <c r="P328" s="36"/>
      <c r="Q328" s="37"/>
      <c r="R328" s="37"/>
      <c r="S328" s="38"/>
      <c r="T328" s="38"/>
      <c r="U328" s="38"/>
      <c r="V328" s="37"/>
      <c r="W328" s="37"/>
      <c r="X328" s="37"/>
      <c r="Y328" s="37"/>
      <c r="Z328" s="37"/>
      <c r="AA328" s="37"/>
      <c r="AB328" s="37"/>
      <c r="AC328" s="37"/>
      <c r="AD328" s="37"/>
      <c r="AE328" s="37"/>
      <c r="AF328" s="37"/>
      <c r="AG328" s="37"/>
      <c r="AH328" s="37"/>
      <c r="AI328" s="37"/>
      <c r="AJ328" s="16"/>
      <c r="AK328" s="16"/>
      <c r="AL328" s="16"/>
      <c r="AM328" s="16"/>
      <c r="AN328" s="16"/>
      <c r="AO328" s="16"/>
      <c r="AP328" s="16"/>
      <c r="AQ328" s="16"/>
    </row>
    <row r="329" spans="4:43">
      <c r="D329" s="35"/>
      <c r="J329" s="34"/>
      <c r="K329" s="35"/>
      <c r="L329" s="16"/>
      <c r="M329" s="43"/>
      <c r="N329" s="16"/>
      <c r="O329" s="36"/>
      <c r="P329" s="36"/>
      <c r="Q329" s="37"/>
      <c r="R329" s="37"/>
      <c r="S329" s="38"/>
      <c r="T329" s="38"/>
      <c r="U329" s="38"/>
      <c r="V329" s="37"/>
      <c r="W329" s="37"/>
      <c r="X329" s="37"/>
      <c r="Y329" s="37"/>
      <c r="Z329" s="37"/>
      <c r="AA329" s="37"/>
      <c r="AB329" s="37"/>
      <c r="AC329" s="37"/>
      <c r="AD329" s="37"/>
      <c r="AE329" s="37"/>
      <c r="AF329" s="37"/>
      <c r="AG329" s="37"/>
      <c r="AH329" s="37"/>
      <c r="AI329" s="37"/>
      <c r="AJ329" s="16"/>
      <c r="AK329" s="16"/>
      <c r="AL329" s="16"/>
      <c r="AM329" s="16"/>
      <c r="AN329" s="16"/>
      <c r="AO329" s="16"/>
      <c r="AP329" s="16"/>
      <c r="AQ329" s="16"/>
    </row>
    <row r="330" spans="4:43">
      <c r="D330" s="35"/>
      <c r="J330" s="34"/>
      <c r="K330" s="35"/>
      <c r="L330" s="16"/>
      <c r="M330" s="43"/>
      <c r="N330" s="16"/>
      <c r="O330" s="36"/>
      <c r="P330" s="36"/>
      <c r="Q330" s="37"/>
      <c r="R330" s="37"/>
      <c r="S330" s="38"/>
      <c r="T330" s="38"/>
      <c r="U330" s="38"/>
      <c r="V330" s="37"/>
      <c r="W330" s="37"/>
      <c r="X330" s="37"/>
      <c r="Y330" s="37"/>
      <c r="Z330" s="37"/>
      <c r="AA330" s="37"/>
      <c r="AB330" s="37"/>
      <c r="AC330" s="37"/>
      <c r="AD330" s="37"/>
      <c r="AE330" s="37"/>
      <c r="AF330" s="37"/>
      <c r="AG330" s="37"/>
      <c r="AH330" s="37"/>
      <c r="AI330" s="37"/>
      <c r="AJ330" s="16"/>
      <c r="AK330" s="16"/>
      <c r="AL330" s="16"/>
      <c r="AM330" s="16"/>
      <c r="AN330" s="16"/>
      <c r="AO330" s="16"/>
      <c r="AP330" s="16"/>
      <c r="AQ330" s="16"/>
    </row>
    <row r="331" spans="4:43">
      <c r="J331" s="34"/>
      <c r="K331" s="35"/>
      <c r="L331" s="35"/>
      <c r="M331" s="42"/>
      <c r="N331" s="35"/>
      <c r="O331" s="36"/>
      <c r="P331" s="36"/>
      <c r="Q331" s="37"/>
      <c r="R331" s="37"/>
      <c r="S331" s="38"/>
      <c r="T331" s="38"/>
      <c r="U331" s="38"/>
      <c r="V331" s="37"/>
      <c r="W331" s="37"/>
      <c r="X331" s="37"/>
      <c r="Y331" s="37"/>
      <c r="Z331" s="37"/>
      <c r="AA331" s="37"/>
      <c r="AB331" s="37"/>
      <c r="AC331" s="37"/>
      <c r="AD331" s="37"/>
      <c r="AE331" s="37"/>
      <c r="AF331" s="37"/>
      <c r="AG331" s="37"/>
      <c r="AH331" s="37"/>
      <c r="AI331" s="37"/>
      <c r="AJ331" s="16"/>
      <c r="AK331" s="16"/>
      <c r="AL331" s="16"/>
      <c r="AM331" s="16"/>
      <c r="AN331" s="16"/>
      <c r="AO331" s="16"/>
      <c r="AP331" s="16"/>
      <c r="AQ331" s="16"/>
    </row>
    <row r="332" spans="4:43">
      <c r="J332" s="34"/>
      <c r="K332" s="35"/>
      <c r="L332" s="35"/>
      <c r="M332" s="42"/>
      <c r="N332" s="35"/>
      <c r="O332" s="36"/>
      <c r="P332" s="36"/>
      <c r="Q332" s="37"/>
      <c r="R332" s="37"/>
      <c r="S332" s="38"/>
      <c r="T332" s="38"/>
      <c r="U332" s="38"/>
      <c r="V332" s="37"/>
      <c r="W332" s="37"/>
      <c r="X332" s="37"/>
      <c r="Y332" s="37"/>
      <c r="Z332" s="37"/>
      <c r="AA332" s="37"/>
      <c r="AB332" s="37"/>
      <c r="AC332" s="37"/>
      <c r="AD332" s="37"/>
      <c r="AE332" s="37"/>
      <c r="AF332" s="37"/>
      <c r="AG332" s="37"/>
      <c r="AH332" s="37"/>
      <c r="AI332" s="37"/>
      <c r="AJ332" s="16"/>
      <c r="AK332" s="16"/>
      <c r="AL332" s="16"/>
      <c r="AM332" s="16"/>
      <c r="AN332" s="16"/>
      <c r="AO332" s="16"/>
      <c r="AP332" s="16"/>
      <c r="AQ332" s="16"/>
    </row>
    <row r="333" spans="4:43">
      <c r="J333" s="34"/>
      <c r="K333" s="35"/>
      <c r="L333" s="35"/>
      <c r="M333" s="42"/>
      <c r="N333" s="35"/>
      <c r="O333" s="36"/>
      <c r="P333" s="36"/>
      <c r="Q333" s="37"/>
      <c r="R333" s="37"/>
      <c r="S333" s="38"/>
      <c r="T333" s="38"/>
      <c r="U333" s="38"/>
      <c r="V333" s="37"/>
      <c r="W333" s="37"/>
      <c r="X333" s="37"/>
      <c r="Y333" s="37"/>
      <c r="Z333" s="37"/>
      <c r="AA333" s="37"/>
      <c r="AB333" s="37"/>
      <c r="AC333" s="37"/>
      <c r="AD333" s="37"/>
      <c r="AE333" s="37"/>
      <c r="AF333" s="37"/>
      <c r="AG333" s="37"/>
      <c r="AH333" s="37"/>
      <c r="AI333" s="37"/>
      <c r="AJ333" s="16"/>
      <c r="AK333" s="16"/>
      <c r="AL333" s="16"/>
      <c r="AM333" s="16"/>
      <c r="AN333" s="16"/>
      <c r="AO333" s="16"/>
      <c r="AP333" s="16"/>
      <c r="AQ333" s="16"/>
    </row>
    <row r="334" spans="4:43">
      <c r="J334" s="34"/>
      <c r="K334" s="35"/>
      <c r="L334" s="35"/>
      <c r="M334" s="42"/>
      <c r="N334" s="35"/>
      <c r="O334" s="36"/>
      <c r="P334" s="36"/>
      <c r="Q334" s="37"/>
      <c r="R334" s="37"/>
      <c r="S334" s="38"/>
      <c r="T334" s="38"/>
      <c r="U334" s="38"/>
      <c r="V334" s="37"/>
      <c r="W334" s="37"/>
      <c r="X334" s="37"/>
      <c r="Y334" s="37"/>
      <c r="Z334" s="37"/>
      <c r="AA334" s="37"/>
      <c r="AB334" s="37"/>
      <c r="AC334" s="37"/>
      <c r="AD334" s="37"/>
      <c r="AE334" s="37"/>
      <c r="AF334" s="37"/>
      <c r="AG334" s="37"/>
      <c r="AH334" s="37"/>
      <c r="AI334" s="37"/>
      <c r="AJ334" s="16"/>
      <c r="AK334" s="16"/>
      <c r="AL334" s="16"/>
      <c r="AM334" s="16"/>
      <c r="AN334" s="16"/>
      <c r="AO334" s="16"/>
      <c r="AP334" s="16"/>
      <c r="AQ334" s="16"/>
    </row>
    <row r="335" spans="4:43">
      <c r="J335" s="34"/>
      <c r="K335" s="35"/>
      <c r="L335" s="35"/>
      <c r="M335" s="42"/>
      <c r="N335" s="35"/>
      <c r="O335" s="36"/>
      <c r="P335" s="36"/>
      <c r="Q335" s="37"/>
      <c r="R335" s="37"/>
      <c r="S335" s="38"/>
      <c r="T335" s="38"/>
      <c r="U335" s="38"/>
      <c r="V335" s="37"/>
      <c r="W335" s="37"/>
      <c r="X335" s="37"/>
      <c r="Y335" s="37"/>
      <c r="Z335" s="37"/>
      <c r="AA335" s="37"/>
      <c r="AB335" s="37"/>
      <c r="AC335" s="37"/>
      <c r="AD335" s="37"/>
      <c r="AE335" s="37"/>
      <c r="AF335" s="37"/>
      <c r="AG335" s="37"/>
      <c r="AH335" s="37"/>
      <c r="AI335" s="37"/>
      <c r="AJ335" s="16"/>
      <c r="AK335" s="16"/>
      <c r="AL335" s="16"/>
      <c r="AM335" s="16"/>
      <c r="AN335" s="16"/>
      <c r="AO335" s="16"/>
      <c r="AP335" s="16"/>
      <c r="AQ335" s="16"/>
    </row>
    <row r="336" spans="4:43">
      <c r="J336" s="34"/>
      <c r="K336" s="35"/>
      <c r="L336" s="16"/>
      <c r="M336" s="43"/>
      <c r="N336" s="16"/>
      <c r="O336" s="36"/>
      <c r="P336" s="36"/>
      <c r="Q336" s="37"/>
      <c r="R336" s="37"/>
      <c r="S336" s="38"/>
      <c r="T336" s="38"/>
      <c r="U336" s="38"/>
      <c r="V336" s="37"/>
      <c r="W336" s="37"/>
      <c r="X336" s="37"/>
      <c r="Y336" s="37"/>
      <c r="Z336" s="37"/>
      <c r="AA336" s="37"/>
      <c r="AB336" s="37"/>
      <c r="AC336" s="37"/>
      <c r="AD336" s="37"/>
      <c r="AE336" s="37"/>
      <c r="AF336" s="37"/>
      <c r="AG336" s="37"/>
      <c r="AH336" s="37"/>
      <c r="AI336" s="37"/>
      <c r="AJ336" s="16"/>
      <c r="AK336" s="16"/>
      <c r="AL336" s="16"/>
      <c r="AM336" s="16"/>
      <c r="AN336" s="16"/>
      <c r="AO336" s="16"/>
      <c r="AP336" s="16"/>
      <c r="AQ336" s="16"/>
    </row>
    <row r="337" spans="10:43">
      <c r="J337" s="34"/>
      <c r="K337" s="35"/>
      <c r="L337" s="16"/>
      <c r="M337" s="43"/>
      <c r="N337" s="16"/>
      <c r="O337" s="36"/>
      <c r="P337" s="36"/>
      <c r="Q337" s="37"/>
      <c r="R337" s="37"/>
      <c r="S337" s="38"/>
      <c r="T337" s="38"/>
      <c r="U337" s="38"/>
      <c r="V337" s="37"/>
      <c r="W337" s="37"/>
      <c r="X337" s="37"/>
      <c r="Y337" s="37"/>
      <c r="Z337" s="37"/>
      <c r="AA337" s="37"/>
      <c r="AB337" s="37"/>
      <c r="AC337" s="37"/>
      <c r="AD337" s="37"/>
      <c r="AE337" s="37"/>
      <c r="AF337" s="37"/>
      <c r="AG337" s="37"/>
      <c r="AH337" s="37"/>
      <c r="AI337" s="37"/>
      <c r="AJ337" s="16"/>
      <c r="AK337" s="16"/>
      <c r="AL337" s="16"/>
      <c r="AM337" s="16"/>
      <c r="AN337" s="16"/>
      <c r="AO337" s="16"/>
      <c r="AP337" s="16"/>
      <c r="AQ337" s="16"/>
    </row>
    <row r="338" spans="10:43">
      <c r="J338" s="34"/>
      <c r="K338" s="35"/>
      <c r="L338" s="16"/>
      <c r="M338" s="43"/>
      <c r="N338" s="16"/>
      <c r="O338" s="36"/>
      <c r="P338" s="36"/>
      <c r="Q338" s="37"/>
      <c r="R338" s="37"/>
      <c r="S338" s="38"/>
      <c r="T338" s="38"/>
      <c r="U338" s="38"/>
      <c r="V338" s="37"/>
      <c r="W338" s="37"/>
      <c r="X338" s="37"/>
      <c r="Y338" s="37"/>
      <c r="Z338" s="37"/>
      <c r="AA338" s="37"/>
      <c r="AB338" s="37"/>
      <c r="AC338" s="37"/>
      <c r="AD338" s="37"/>
      <c r="AE338" s="37"/>
      <c r="AF338" s="37"/>
      <c r="AG338" s="37"/>
      <c r="AH338" s="37"/>
      <c r="AI338" s="37"/>
      <c r="AJ338" s="16"/>
      <c r="AK338" s="16"/>
      <c r="AL338" s="16"/>
      <c r="AM338" s="16"/>
      <c r="AN338" s="16"/>
      <c r="AO338" s="16"/>
      <c r="AP338" s="16"/>
      <c r="AQ338" s="16"/>
    </row>
    <row r="339" spans="10:43">
      <c r="J339" s="34"/>
      <c r="K339" s="35"/>
      <c r="L339" s="16"/>
      <c r="M339" s="43"/>
      <c r="N339" s="16"/>
      <c r="O339" s="36"/>
      <c r="P339" s="36"/>
      <c r="Q339" s="37"/>
      <c r="R339" s="37"/>
      <c r="S339" s="38"/>
      <c r="T339" s="38"/>
      <c r="U339" s="38"/>
      <c r="V339" s="37"/>
      <c r="W339" s="37"/>
      <c r="X339" s="37"/>
      <c r="Y339" s="37"/>
      <c r="Z339" s="37"/>
      <c r="AA339" s="37"/>
      <c r="AB339" s="37"/>
      <c r="AC339" s="37"/>
      <c r="AD339" s="37"/>
      <c r="AE339" s="37"/>
      <c r="AF339" s="37"/>
      <c r="AG339" s="37"/>
      <c r="AH339" s="37"/>
      <c r="AI339" s="37"/>
      <c r="AJ339" s="16"/>
      <c r="AK339" s="16"/>
      <c r="AL339" s="16"/>
      <c r="AM339" s="16"/>
      <c r="AN339" s="16"/>
      <c r="AO339" s="16"/>
      <c r="AP339" s="16"/>
      <c r="AQ339" s="16"/>
    </row>
    <row r="340" spans="10:43">
      <c r="J340" s="34"/>
      <c r="K340" s="35"/>
      <c r="L340" s="16"/>
      <c r="M340" s="43"/>
      <c r="N340" s="16"/>
      <c r="O340" s="36"/>
      <c r="P340" s="36"/>
      <c r="Q340" s="37"/>
      <c r="R340" s="37"/>
      <c r="S340" s="38"/>
      <c r="T340" s="38"/>
      <c r="U340" s="38"/>
      <c r="V340" s="37"/>
      <c r="W340" s="37"/>
      <c r="X340" s="37"/>
      <c r="Y340" s="37"/>
      <c r="Z340" s="37"/>
      <c r="AA340" s="37"/>
      <c r="AB340" s="37"/>
      <c r="AC340" s="37"/>
      <c r="AD340" s="37"/>
      <c r="AE340" s="37"/>
      <c r="AF340" s="37"/>
      <c r="AG340" s="37"/>
      <c r="AH340" s="37"/>
      <c r="AI340" s="37"/>
      <c r="AJ340" s="16"/>
      <c r="AK340" s="16"/>
      <c r="AL340" s="16"/>
      <c r="AM340" s="16"/>
      <c r="AN340" s="16"/>
      <c r="AO340" s="16"/>
      <c r="AP340" s="16"/>
      <c r="AQ340" s="16"/>
    </row>
    <row r="341" spans="10:43">
      <c r="J341" s="34"/>
      <c r="K341" s="35"/>
      <c r="L341" s="16"/>
      <c r="M341" s="43"/>
      <c r="N341" s="16"/>
      <c r="O341" s="36"/>
      <c r="P341" s="36"/>
      <c r="Q341" s="37"/>
      <c r="R341" s="37"/>
      <c r="S341" s="38"/>
      <c r="T341" s="38"/>
      <c r="U341" s="38"/>
      <c r="V341" s="37"/>
      <c r="W341" s="37"/>
      <c r="X341" s="37"/>
      <c r="Y341" s="37"/>
      <c r="Z341" s="37"/>
      <c r="AA341" s="37"/>
      <c r="AB341" s="37"/>
      <c r="AC341" s="37"/>
      <c r="AD341" s="37"/>
      <c r="AE341" s="37"/>
      <c r="AF341" s="37"/>
      <c r="AG341" s="37"/>
      <c r="AH341" s="37"/>
      <c r="AI341" s="37"/>
      <c r="AJ341" s="16"/>
      <c r="AK341" s="16"/>
      <c r="AL341" s="16"/>
      <c r="AM341" s="16"/>
      <c r="AN341" s="16"/>
      <c r="AO341" s="16"/>
      <c r="AP341" s="16"/>
      <c r="AQ341" s="16"/>
    </row>
    <row r="342" spans="10:43">
      <c r="J342" s="34"/>
      <c r="K342" s="35"/>
      <c r="L342" s="16"/>
      <c r="M342" s="43"/>
      <c r="N342" s="16"/>
      <c r="O342" s="36"/>
      <c r="P342" s="36"/>
      <c r="Q342" s="37"/>
      <c r="R342" s="37"/>
      <c r="S342" s="38"/>
      <c r="T342" s="38"/>
      <c r="U342" s="38"/>
      <c r="V342" s="37"/>
      <c r="W342" s="37"/>
      <c r="X342" s="37"/>
      <c r="Y342" s="37"/>
      <c r="Z342" s="37"/>
      <c r="AA342" s="37"/>
      <c r="AB342" s="37"/>
      <c r="AC342" s="37"/>
      <c r="AD342" s="37"/>
      <c r="AE342" s="37"/>
      <c r="AF342" s="37"/>
      <c r="AG342" s="37"/>
      <c r="AH342" s="37"/>
      <c r="AI342" s="37"/>
      <c r="AJ342" s="16"/>
      <c r="AK342" s="16"/>
      <c r="AL342" s="16"/>
      <c r="AM342" s="16"/>
      <c r="AN342" s="16"/>
      <c r="AO342" s="16"/>
      <c r="AP342" s="16"/>
      <c r="AQ342" s="16"/>
    </row>
    <row r="343" spans="10:43">
      <c r="J343" s="34"/>
      <c r="K343" s="35"/>
      <c r="L343" s="16"/>
      <c r="M343" s="43"/>
      <c r="N343" s="16"/>
      <c r="O343" s="36"/>
      <c r="P343" s="36"/>
      <c r="Q343" s="37"/>
      <c r="R343" s="37"/>
      <c r="S343" s="38"/>
      <c r="T343" s="38"/>
      <c r="U343" s="38"/>
      <c r="V343" s="37"/>
      <c r="W343" s="37"/>
      <c r="X343" s="37"/>
      <c r="Y343" s="37"/>
      <c r="Z343" s="37"/>
      <c r="AA343" s="37"/>
      <c r="AB343" s="37"/>
      <c r="AC343" s="37"/>
      <c r="AD343" s="37"/>
      <c r="AE343" s="37"/>
      <c r="AF343" s="37"/>
      <c r="AG343" s="37"/>
      <c r="AH343" s="37"/>
      <c r="AI343" s="37"/>
      <c r="AJ343" s="16"/>
      <c r="AK343" s="16"/>
      <c r="AL343" s="16"/>
      <c r="AM343" s="16"/>
      <c r="AN343" s="16"/>
      <c r="AO343" s="16"/>
      <c r="AP343" s="16"/>
      <c r="AQ343" s="16"/>
    </row>
    <row r="344" spans="10:43">
      <c r="J344" s="34"/>
      <c r="K344" s="35"/>
      <c r="L344" s="16"/>
      <c r="M344" s="43"/>
      <c r="N344" s="16"/>
      <c r="O344" s="36"/>
      <c r="P344" s="36"/>
      <c r="Q344" s="37"/>
      <c r="R344" s="37"/>
      <c r="S344" s="38"/>
      <c r="T344" s="38"/>
      <c r="U344" s="38"/>
      <c r="V344" s="37"/>
      <c r="W344" s="37"/>
      <c r="X344" s="37"/>
      <c r="Y344" s="37"/>
      <c r="Z344" s="37"/>
      <c r="AA344" s="37"/>
      <c r="AB344" s="37"/>
      <c r="AC344" s="37"/>
      <c r="AD344" s="37"/>
      <c r="AE344" s="37"/>
      <c r="AF344" s="37"/>
      <c r="AG344" s="37"/>
      <c r="AH344" s="37"/>
      <c r="AI344" s="37"/>
      <c r="AJ344" s="16"/>
      <c r="AK344" s="16"/>
      <c r="AL344" s="16"/>
      <c r="AM344" s="16"/>
      <c r="AN344" s="16"/>
      <c r="AO344" s="16"/>
      <c r="AP344" s="16"/>
      <c r="AQ344" s="16"/>
    </row>
    <row r="345" spans="10:43">
      <c r="J345" s="34"/>
      <c r="K345" s="35"/>
      <c r="L345" s="16"/>
      <c r="M345" s="43"/>
      <c r="N345" s="16"/>
      <c r="O345" s="36"/>
      <c r="P345" s="36"/>
      <c r="Q345" s="37"/>
      <c r="R345" s="37"/>
      <c r="S345" s="38"/>
      <c r="T345" s="38"/>
      <c r="U345" s="38"/>
      <c r="V345" s="37"/>
      <c r="W345" s="37"/>
      <c r="X345" s="37"/>
      <c r="Y345" s="37"/>
      <c r="Z345" s="37"/>
      <c r="AA345" s="37"/>
      <c r="AB345" s="37"/>
      <c r="AC345" s="37"/>
      <c r="AD345" s="37"/>
      <c r="AE345" s="37"/>
      <c r="AF345" s="37"/>
      <c r="AG345" s="37"/>
      <c r="AH345" s="37"/>
      <c r="AI345" s="37"/>
      <c r="AJ345" s="16"/>
      <c r="AK345" s="16"/>
      <c r="AL345" s="16"/>
      <c r="AM345" s="16"/>
      <c r="AN345" s="16"/>
      <c r="AO345" s="16"/>
      <c r="AP345" s="16"/>
      <c r="AQ345" s="16"/>
    </row>
    <row r="346" spans="10:43">
      <c r="J346" s="34"/>
      <c r="K346" s="35"/>
      <c r="L346" s="16"/>
      <c r="M346" s="43"/>
      <c r="N346" s="16"/>
      <c r="O346" s="36"/>
      <c r="P346" s="36"/>
      <c r="Q346" s="37"/>
      <c r="R346" s="37"/>
      <c r="S346" s="38"/>
      <c r="T346" s="38"/>
      <c r="U346" s="38"/>
      <c r="V346" s="37"/>
      <c r="W346" s="37"/>
      <c r="X346" s="37"/>
      <c r="Y346" s="37"/>
      <c r="Z346" s="37"/>
      <c r="AA346" s="37"/>
      <c r="AB346" s="37"/>
      <c r="AC346" s="37"/>
      <c r="AD346" s="37"/>
      <c r="AE346" s="37"/>
      <c r="AF346" s="37"/>
      <c r="AG346" s="37"/>
      <c r="AH346" s="37"/>
      <c r="AI346" s="37"/>
      <c r="AJ346" s="16"/>
      <c r="AK346" s="16"/>
      <c r="AL346" s="16"/>
      <c r="AM346" s="16"/>
      <c r="AN346" s="16"/>
      <c r="AO346" s="16"/>
      <c r="AP346" s="16"/>
      <c r="AQ346" s="16"/>
    </row>
    <row r="347" spans="10:43">
      <c r="J347" s="34"/>
      <c r="K347" s="35"/>
      <c r="L347" s="16"/>
      <c r="M347" s="43"/>
      <c r="N347" s="16"/>
      <c r="O347" s="36"/>
      <c r="P347" s="36"/>
      <c r="Q347" s="37"/>
      <c r="R347" s="37"/>
      <c r="S347" s="38"/>
      <c r="T347" s="38"/>
      <c r="U347" s="38"/>
      <c r="V347" s="37"/>
      <c r="W347" s="37"/>
      <c r="X347" s="37"/>
      <c r="Y347" s="37"/>
      <c r="Z347" s="37"/>
      <c r="AA347" s="37"/>
      <c r="AB347" s="37"/>
      <c r="AC347" s="37"/>
      <c r="AD347" s="37"/>
      <c r="AE347" s="37"/>
      <c r="AF347" s="37"/>
      <c r="AG347" s="37"/>
      <c r="AH347" s="37"/>
      <c r="AI347" s="37"/>
      <c r="AJ347" s="16"/>
      <c r="AK347" s="16"/>
      <c r="AL347" s="16"/>
      <c r="AM347" s="16"/>
      <c r="AN347" s="16"/>
      <c r="AO347" s="16"/>
      <c r="AP347" s="16"/>
      <c r="AQ347" s="16"/>
    </row>
    <row r="348" spans="10:43">
      <c r="J348" s="34"/>
      <c r="K348" s="35"/>
      <c r="L348" s="16"/>
      <c r="M348" s="43"/>
      <c r="N348" s="16"/>
      <c r="O348" s="36"/>
      <c r="P348" s="36"/>
      <c r="Q348" s="37"/>
      <c r="R348" s="37"/>
      <c r="S348" s="38"/>
      <c r="T348" s="38"/>
      <c r="U348" s="38"/>
      <c r="V348" s="37"/>
      <c r="W348" s="37"/>
      <c r="X348" s="37"/>
      <c r="Y348" s="37"/>
      <c r="Z348" s="37"/>
      <c r="AA348" s="37"/>
      <c r="AB348" s="37"/>
      <c r="AC348" s="37"/>
      <c r="AD348" s="37"/>
      <c r="AE348" s="37"/>
      <c r="AF348" s="37"/>
      <c r="AG348" s="37"/>
      <c r="AH348" s="37"/>
      <c r="AI348" s="37"/>
      <c r="AJ348" s="16"/>
      <c r="AK348" s="16"/>
      <c r="AL348" s="16"/>
      <c r="AM348" s="16"/>
      <c r="AN348" s="16"/>
      <c r="AO348" s="16"/>
      <c r="AP348" s="16"/>
      <c r="AQ348" s="16"/>
    </row>
    <row r="349" spans="10:43">
      <c r="J349" s="34"/>
      <c r="K349" s="35"/>
      <c r="L349" s="16"/>
      <c r="M349" s="43"/>
      <c r="N349" s="16"/>
      <c r="O349" s="36"/>
      <c r="P349" s="36"/>
      <c r="Q349" s="37"/>
      <c r="R349" s="37"/>
      <c r="S349" s="38"/>
      <c r="T349" s="38"/>
      <c r="U349" s="38"/>
      <c r="V349" s="37"/>
      <c r="W349" s="37"/>
      <c r="X349" s="37"/>
      <c r="Y349" s="37"/>
      <c r="Z349" s="37"/>
      <c r="AA349" s="37"/>
      <c r="AB349" s="37"/>
      <c r="AC349" s="37"/>
      <c r="AD349" s="37"/>
      <c r="AE349" s="37"/>
      <c r="AF349" s="37"/>
      <c r="AG349" s="37"/>
      <c r="AH349" s="37"/>
      <c r="AI349" s="37"/>
      <c r="AJ349" s="16"/>
      <c r="AK349" s="16"/>
      <c r="AL349" s="16"/>
      <c r="AM349" s="16"/>
      <c r="AN349" s="16"/>
      <c r="AO349" s="16"/>
      <c r="AP349" s="16"/>
      <c r="AQ349" s="16"/>
    </row>
    <row r="350" spans="10:43">
      <c r="J350" s="34"/>
      <c r="K350" s="35"/>
      <c r="L350" s="16"/>
      <c r="M350" s="43"/>
      <c r="N350" s="16"/>
      <c r="O350" s="36"/>
      <c r="P350" s="36"/>
      <c r="Q350" s="37"/>
      <c r="R350" s="37"/>
      <c r="S350" s="38"/>
      <c r="T350" s="38"/>
      <c r="U350" s="38"/>
      <c r="V350" s="37"/>
      <c r="W350" s="37"/>
      <c r="X350" s="37"/>
      <c r="Y350" s="37"/>
      <c r="Z350" s="37"/>
      <c r="AA350" s="37"/>
      <c r="AB350" s="37"/>
      <c r="AC350" s="37"/>
      <c r="AD350" s="37"/>
      <c r="AE350" s="37"/>
      <c r="AF350" s="37"/>
      <c r="AG350" s="37"/>
      <c r="AH350" s="37"/>
      <c r="AI350" s="37"/>
      <c r="AJ350" s="16"/>
      <c r="AK350" s="16"/>
      <c r="AL350" s="16"/>
      <c r="AM350" s="16"/>
      <c r="AN350" s="16"/>
      <c r="AO350" s="16"/>
      <c r="AP350" s="16"/>
      <c r="AQ350" s="16"/>
    </row>
    <row r="351" spans="10:43">
      <c r="J351" s="34"/>
      <c r="K351" s="35"/>
      <c r="L351" s="16"/>
      <c r="M351" s="43"/>
      <c r="N351" s="16"/>
      <c r="O351" s="36"/>
      <c r="P351" s="36"/>
      <c r="Q351" s="37"/>
      <c r="R351" s="37"/>
      <c r="S351" s="38"/>
      <c r="T351" s="38"/>
      <c r="U351" s="38"/>
      <c r="V351" s="37"/>
      <c r="W351" s="37"/>
      <c r="X351" s="37"/>
      <c r="Y351" s="37"/>
      <c r="Z351" s="37"/>
      <c r="AA351" s="37"/>
      <c r="AB351" s="37"/>
      <c r="AC351" s="37"/>
      <c r="AD351" s="37"/>
      <c r="AE351" s="37"/>
      <c r="AF351" s="37"/>
      <c r="AG351" s="37"/>
      <c r="AH351" s="37"/>
      <c r="AI351" s="37"/>
      <c r="AJ351" s="16"/>
      <c r="AK351" s="16"/>
      <c r="AL351" s="16"/>
      <c r="AM351" s="16"/>
      <c r="AN351" s="16"/>
      <c r="AO351" s="16"/>
      <c r="AP351" s="16"/>
      <c r="AQ351" s="16"/>
    </row>
    <row r="352" spans="10:43">
      <c r="J352" s="34"/>
      <c r="K352" s="35"/>
      <c r="L352" s="16"/>
      <c r="M352" s="43"/>
      <c r="N352" s="16"/>
      <c r="O352" s="36"/>
      <c r="P352" s="36"/>
      <c r="Q352" s="37"/>
      <c r="R352" s="37"/>
      <c r="S352" s="38"/>
      <c r="T352" s="38"/>
      <c r="U352" s="38"/>
      <c r="V352" s="37"/>
      <c r="W352" s="37"/>
      <c r="X352" s="37"/>
      <c r="Y352" s="37"/>
      <c r="Z352" s="37"/>
      <c r="AA352" s="37"/>
      <c r="AB352" s="37"/>
      <c r="AC352" s="37"/>
      <c r="AD352" s="37"/>
      <c r="AE352" s="37"/>
      <c r="AF352" s="37"/>
      <c r="AG352" s="37"/>
      <c r="AH352" s="37"/>
      <c r="AI352" s="37"/>
      <c r="AJ352" s="16"/>
      <c r="AK352" s="16"/>
      <c r="AL352" s="16"/>
      <c r="AM352" s="16"/>
      <c r="AN352" s="16"/>
      <c r="AO352" s="16"/>
      <c r="AP352" s="16"/>
      <c r="AQ352" s="16"/>
    </row>
    <row r="353" spans="10:43">
      <c r="J353" s="34"/>
      <c r="K353" s="35"/>
      <c r="L353" s="16"/>
      <c r="M353" s="43"/>
      <c r="N353" s="16"/>
      <c r="O353" s="36"/>
      <c r="P353" s="36"/>
      <c r="Q353" s="37"/>
      <c r="R353" s="37"/>
      <c r="S353" s="38"/>
      <c r="T353" s="38"/>
      <c r="U353" s="38"/>
      <c r="V353" s="37"/>
      <c r="W353" s="37"/>
      <c r="X353" s="37"/>
      <c r="Y353" s="37"/>
      <c r="Z353" s="37"/>
      <c r="AA353" s="37"/>
      <c r="AB353" s="37"/>
      <c r="AC353" s="37"/>
      <c r="AD353" s="37"/>
      <c r="AE353" s="37"/>
      <c r="AF353" s="37"/>
      <c r="AG353" s="37"/>
      <c r="AH353" s="37"/>
      <c r="AI353" s="37"/>
      <c r="AJ353" s="16"/>
      <c r="AK353" s="16"/>
      <c r="AL353" s="16"/>
      <c r="AM353" s="16"/>
      <c r="AN353" s="16"/>
      <c r="AO353" s="16"/>
      <c r="AP353" s="16"/>
      <c r="AQ353" s="16"/>
    </row>
    <row r="354" spans="10:43">
      <c r="J354" s="34"/>
      <c r="K354" s="35"/>
      <c r="L354" s="16"/>
      <c r="M354" s="43"/>
      <c r="N354" s="16"/>
      <c r="O354" s="36"/>
      <c r="P354" s="36"/>
      <c r="Q354" s="37"/>
      <c r="R354" s="37"/>
      <c r="S354" s="38"/>
      <c r="T354" s="38"/>
      <c r="U354" s="38"/>
      <c r="V354" s="37"/>
      <c r="W354" s="37"/>
      <c r="X354" s="37"/>
      <c r="Y354" s="37"/>
      <c r="Z354" s="37"/>
      <c r="AA354" s="37"/>
      <c r="AB354" s="37"/>
      <c r="AC354" s="37"/>
      <c r="AD354" s="37"/>
      <c r="AE354" s="37"/>
      <c r="AF354" s="37"/>
      <c r="AG354" s="37"/>
      <c r="AH354" s="37"/>
      <c r="AI354" s="37"/>
      <c r="AJ354" s="16"/>
      <c r="AK354" s="16"/>
      <c r="AL354" s="16"/>
      <c r="AM354" s="16"/>
      <c r="AN354" s="16"/>
      <c r="AO354" s="16"/>
      <c r="AP354" s="16"/>
      <c r="AQ354" s="16"/>
    </row>
    <row r="355" spans="10:43">
      <c r="J355" s="34"/>
      <c r="K355" s="35"/>
      <c r="L355" s="16"/>
      <c r="M355" s="43"/>
      <c r="N355" s="16"/>
      <c r="O355" s="1"/>
      <c r="P355" s="1"/>
      <c r="Q355" s="1"/>
      <c r="R355" s="1"/>
      <c r="S355" s="1"/>
    </row>
    <row r="356" spans="10:43">
      <c r="J356" s="34"/>
      <c r="K356" s="35"/>
      <c r="L356" s="16"/>
      <c r="M356" s="43"/>
      <c r="N356" s="16"/>
      <c r="O356" s="1"/>
      <c r="P356" s="1"/>
      <c r="Q356" s="1"/>
      <c r="R356" s="1"/>
      <c r="S356" s="1"/>
    </row>
    <row r="357" spans="10:43">
      <c r="J357" s="34"/>
      <c r="K357" s="35"/>
      <c r="L357" s="16"/>
      <c r="M357" s="43"/>
      <c r="N357" s="16"/>
      <c r="O357" s="1"/>
      <c r="P357" s="1"/>
      <c r="Q357" s="1"/>
      <c r="R357" s="1"/>
      <c r="S357" s="1"/>
    </row>
    <row r="358" spans="10:43">
      <c r="J358" s="34"/>
      <c r="K358" s="35"/>
      <c r="L358" s="16"/>
      <c r="M358" s="43"/>
      <c r="N358" s="16"/>
      <c r="O358" s="1"/>
      <c r="P358" s="1"/>
      <c r="Q358" s="1"/>
      <c r="R358" s="1"/>
      <c r="S358" s="1"/>
    </row>
    <row r="359" spans="10:43">
      <c r="J359" s="34"/>
      <c r="K359" s="35"/>
      <c r="L359" s="16"/>
      <c r="M359" s="43"/>
      <c r="N359" s="16"/>
      <c r="O359" s="1"/>
      <c r="P359" s="1"/>
      <c r="Q359" s="1"/>
      <c r="R359" s="1"/>
      <c r="S359" s="1"/>
    </row>
    <row r="360" spans="10:43">
      <c r="J360" s="34"/>
      <c r="K360" s="35"/>
      <c r="L360" s="16"/>
      <c r="M360" s="43"/>
      <c r="N360" s="16"/>
      <c r="O360" s="1"/>
      <c r="P360" s="1"/>
      <c r="Q360" s="1"/>
      <c r="R360" s="1"/>
      <c r="S360" s="1"/>
    </row>
    <row r="361" spans="10:43">
      <c r="J361" s="34"/>
      <c r="K361" s="35"/>
      <c r="L361" s="16"/>
      <c r="M361" s="43"/>
      <c r="N361" s="16"/>
      <c r="O361" s="1"/>
      <c r="P361" s="1"/>
      <c r="Q361" s="1"/>
      <c r="R361" s="1"/>
      <c r="S361" s="1"/>
    </row>
    <row r="362" spans="10:43">
      <c r="J362" s="34"/>
      <c r="K362" s="35"/>
      <c r="L362" s="16"/>
      <c r="M362" s="43"/>
      <c r="N362" s="16"/>
      <c r="O362" s="1"/>
      <c r="P362" s="1"/>
      <c r="Q362" s="1"/>
      <c r="R362" s="1"/>
      <c r="S362" s="1"/>
    </row>
    <row r="363" spans="10:43">
      <c r="J363" s="34"/>
      <c r="K363" s="35"/>
      <c r="L363" s="16"/>
      <c r="M363" s="43"/>
      <c r="N363" s="16"/>
      <c r="O363" s="1"/>
      <c r="P363" s="1"/>
      <c r="Q363" s="1"/>
      <c r="R363" s="1"/>
      <c r="S363" s="1"/>
    </row>
    <row r="364" spans="10:43">
      <c r="J364" s="34"/>
      <c r="K364" s="35"/>
      <c r="L364" s="16"/>
      <c r="M364" s="43"/>
      <c r="N364" s="16"/>
      <c r="O364" s="1"/>
      <c r="P364" s="1"/>
      <c r="Q364" s="1"/>
      <c r="R364" s="1"/>
      <c r="S364" s="1"/>
    </row>
    <row r="365" spans="10:43">
      <c r="J365" s="34"/>
      <c r="K365" s="35"/>
      <c r="L365" s="16"/>
      <c r="M365" s="43"/>
      <c r="N365" s="16"/>
      <c r="O365" s="1"/>
      <c r="P365" s="1"/>
      <c r="Q365" s="1"/>
      <c r="R365" s="1"/>
      <c r="S365" s="1"/>
    </row>
    <row r="366" spans="10:43">
      <c r="J366" s="34"/>
      <c r="K366" s="35"/>
      <c r="L366" s="16"/>
      <c r="M366" s="43"/>
      <c r="N366" s="16"/>
      <c r="O366" s="1"/>
      <c r="P366" s="1"/>
      <c r="Q366" s="1"/>
      <c r="R366" s="1"/>
      <c r="S366" s="1"/>
    </row>
    <row r="367" spans="10:43">
      <c r="J367" s="34"/>
      <c r="K367" s="35"/>
      <c r="L367" s="16"/>
      <c r="M367" s="43"/>
      <c r="N367" s="16"/>
      <c r="O367" s="1"/>
      <c r="P367" s="1"/>
      <c r="Q367" s="1"/>
      <c r="R367" s="1"/>
      <c r="S367" s="1"/>
    </row>
    <row r="368" spans="10:43">
      <c r="J368" s="34"/>
      <c r="K368" s="35"/>
      <c r="L368" s="16"/>
      <c r="M368" s="43"/>
      <c r="N368" s="16"/>
      <c r="O368" s="1"/>
      <c r="P368" s="1"/>
      <c r="Q368" s="1"/>
      <c r="R368" s="1"/>
      <c r="S368" s="1"/>
    </row>
    <row r="369" spans="10:19">
      <c r="J369" s="34"/>
      <c r="K369" s="35"/>
      <c r="L369" s="16"/>
      <c r="M369" s="43"/>
      <c r="N369" s="16"/>
      <c r="O369" s="1"/>
      <c r="P369" s="1"/>
      <c r="Q369" s="1"/>
      <c r="R369" s="1"/>
      <c r="S369" s="1"/>
    </row>
    <row r="370" spans="10:19">
      <c r="J370" s="34"/>
      <c r="K370" s="35"/>
      <c r="L370" s="16"/>
      <c r="M370" s="43"/>
      <c r="N370" s="16"/>
      <c r="O370" s="1"/>
      <c r="P370" s="1"/>
      <c r="Q370" s="1"/>
      <c r="R370" s="1"/>
      <c r="S370" s="1"/>
    </row>
    <row r="371" spans="10:19">
      <c r="J371" s="34"/>
      <c r="K371" s="35"/>
      <c r="L371" s="16"/>
      <c r="M371" s="43"/>
      <c r="N371" s="16"/>
      <c r="O371" s="1"/>
      <c r="P371" s="1"/>
      <c r="Q371" s="1"/>
      <c r="R371" s="1"/>
      <c r="S371" s="1"/>
    </row>
    <row r="372" spans="10:19">
      <c r="J372" s="34"/>
      <c r="K372" s="35"/>
      <c r="L372" s="16"/>
      <c r="M372" s="43"/>
      <c r="N372" s="16"/>
      <c r="O372" s="1"/>
      <c r="P372" s="1"/>
      <c r="Q372" s="1"/>
      <c r="R372" s="1"/>
      <c r="S372" s="1"/>
    </row>
    <row r="373" spans="10:19">
      <c r="J373" s="34"/>
      <c r="K373" s="35"/>
      <c r="L373" s="16"/>
      <c r="M373" s="43"/>
      <c r="N373" s="16"/>
      <c r="O373" s="1"/>
      <c r="P373" s="1"/>
      <c r="Q373" s="1"/>
      <c r="R373" s="1"/>
      <c r="S373" s="1"/>
    </row>
    <row r="374" spans="10:19">
      <c r="J374" s="34"/>
      <c r="K374" s="35"/>
      <c r="L374" s="16"/>
      <c r="M374" s="43"/>
      <c r="N374" s="16"/>
      <c r="O374" s="1"/>
      <c r="P374" s="1"/>
      <c r="Q374" s="1"/>
      <c r="R374" s="1"/>
      <c r="S374" s="1"/>
    </row>
    <row r="375" spans="10:19">
      <c r="J375" s="34"/>
      <c r="K375" s="35"/>
      <c r="L375" s="16"/>
      <c r="M375" s="43"/>
      <c r="N375" s="16"/>
      <c r="O375" s="1"/>
      <c r="P375" s="1"/>
      <c r="Q375" s="1"/>
      <c r="R375" s="1"/>
      <c r="S375" s="1"/>
    </row>
    <row r="376" spans="10:19">
      <c r="J376" s="34"/>
      <c r="K376" s="35"/>
      <c r="L376" s="16"/>
      <c r="M376" s="43"/>
      <c r="N376" s="16"/>
      <c r="O376" s="1"/>
      <c r="P376" s="1"/>
      <c r="Q376" s="1"/>
      <c r="R376" s="1"/>
      <c r="S376" s="1"/>
    </row>
    <row r="377" spans="10:19">
      <c r="J377" s="34"/>
      <c r="K377" s="35"/>
      <c r="L377" s="16"/>
      <c r="M377" s="43"/>
      <c r="N377" s="16"/>
      <c r="O377" s="1"/>
      <c r="P377" s="1"/>
      <c r="Q377" s="1"/>
      <c r="R377" s="1"/>
      <c r="S377" s="1"/>
    </row>
    <row r="378" spans="10:19">
      <c r="J378" s="34"/>
      <c r="K378" s="35"/>
      <c r="L378" s="16"/>
      <c r="M378" s="43"/>
      <c r="N378" s="16"/>
      <c r="O378" s="1"/>
      <c r="P378" s="1"/>
      <c r="Q378" s="1"/>
      <c r="R378" s="1"/>
      <c r="S378" s="1"/>
    </row>
    <row r="379" spans="10:19">
      <c r="J379" s="34"/>
      <c r="K379" s="35"/>
      <c r="L379" s="16"/>
      <c r="M379" s="43"/>
      <c r="N379" s="16"/>
      <c r="O379" s="1"/>
      <c r="P379" s="1"/>
      <c r="Q379" s="1"/>
      <c r="R379" s="1"/>
      <c r="S379" s="1"/>
    </row>
    <row r="380" spans="10:19">
      <c r="J380" s="34"/>
      <c r="K380" s="35"/>
      <c r="L380" s="16"/>
      <c r="M380" s="43"/>
      <c r="N380" s="16"/>
      <c r="O380" s="1"/>
      <c r="P380" s="1"/>
      <c r="Q380" s="1"/>
      <c r="R380" s="1"/>
      <c r="S380" s="1"/>
    </row>
    <row r="381" spans="10:19">
      <c r="J381" s="34"/>
      <c r="K381" s="35"/>
      <c r="L381" s="16"/>
      <c r="M381" s="43"/>
      <c r="N381" s="16"/>
      <c r="O381" s="1"/>
      <c r="P381" s="1"/>
      <c r="Q381" s="1"/>
      <c r="R381" s="1"/>
      <c r="S381" s="1"/>
    </row>
    <row r="382" spans="10:19">
      <c r="J382" s="34"/>
      <c r="K382" s="35"/>
      <c r="L382" s="16"/>
      <c r="M382" s="43"/>
      <c r="N382" s="16"/>
      <c r="O382" s="1"/>
      <c r="P382" s="1"/>
      <c r="Q382" s="1"/>
      <c r="R382" s="1"/>
      <c r="S382" s="1"/>
    </row>
    <row r="383" spans="10:19">
      <c r="J383" s="1"/>
      <c r="K383" s="1"/>
      <c r="L383" s="1"/>
      <c r="M383" s="44"/>
      <c r="N383" s="1"/>
      <c r="O383" s="1"/>
      <c r="P383" s="1"/>
      <c r="Q383" s="1"/>
      <c r="R383" s="1"/>
      <c r="S383" s="1"/>
    </row>
    <row r="384" spans="10:19">
      <c r="J384" s="1"/>
      <c r="K384" s="1"/>
      <c r="L384" s="1"/>
      <c r="M384" s="44"/>
      <c r="N384" s="1"/>
      <c r="O384" s="1"/>
      <c r="P384" s="1"/>
      <c r="Q384" s="1"/>
      <c r="R384" s="1"/>
      <c r="S384" s="1"/>
    </row>
    <row r="385" spans="10:19">
      <c r="J385" s="1"/>
      <c r="K385" s="1"/>
      <c r="L385" s="1"/>
      <c r="M385" s="44"/>
      <c r="N385" s="1"/>
      <c r="O385" s="1"/>
      <c r="P385" s="1"/>
      <c r="Q385" s="1"/>
      <c r="R385" s="1"/>
      <c r="S385" s="1"/>
    </row>
    <row r="386" spans="10:19">
      <c r="J386" s="1"/>
      <c r="K386" s="1"/>
      <c r="L386" s="1"/>
      <c r="M386" s="44"/>
      <c r="N386" s="1"/>
      <c r="O386" s="1"/>
      <c r="P386" s="1"/>
      <c r="Q386" s="1"/>
      <c r="R386" s="1"/>
      <c r="S386" s="1"/>
    </row>
    <row r="387" spans="10:19">
      <c r="J387" s="1"/>
      <c r="K387" s="1"/>
      <c r="L387" s="1"/>
      <c r="M387" s="44"/>
      <c r="N387" s="1"/>
      <c r="O387" s="1"/>
      <c r="P387" s="1"/>
      <c r="Q387" s="1"/>
      <c r="R387" s="1"/>
      <c r="S387" s="1"/>
    </row>
    <row r="388" spans="10:19">
      <c r="J388" s="1"/>
      <c r="K388" s="1"/>
      <c r="L388" s="1"/>
      <c r="M388" s="44"/>
      <c r="N388" s="1"/>
      <c r="O388" s="1"/>
      <c r="P388" s="1"/>
      <c r="Q388" s="1"/>
      <c r="R388" s="1"/>
      <c r="S388" s="1"/>
    </row>
    <row r="389" spans="10:19">
      <c r="J389" s="1"/>
      <c r="K389" s="1"/>
      <c r="L389" s="1"/>
      <c r="M389" s="44"/>
      <c r="N389" s="1"/>
      <c r="O389" s="1"/>
      <c r="P389" s="1"/>
      <c r="Q389" s="1"/>
      <c r="R389" s="1"/>
      <c r="S389" s="1"/>
    </row>
    <row r="390" spans="10:19">
      <c r="J390" s="1"/>
      <c r="K390" s="1"/>
      <c r="L390" s="1"/>
      <c r="M390" s="44"/>
      <c r="N390" s="1"/>
      <c r="O390" s="1"/>
      <c r="P390" s="1"/>
      <c r="Q390" s="1"/>
      <c r="R390" s="1"/>
      <c r="S390" s="1"/>
    </row>
    <row r="391" spans="10:19">
      <c r="J391" s="1"/>
      <c r="K391" s="1"/>
      <c r="L391" s="1"/>
      <c r="M391" s="44"/>
      <c r="N391" s="1"/>
      <c r="O391" s="1"/>
      <c r="P391" s="1"/>
      <c r="Q391" s="1"/>
      <c r="R391" s="1"/>
      <c r="S391" s="1"/>
    </row>
    <row r="392" spans="10:19">
      <c r="J392" s="1"/>
      <c r="K392" s="1"/>
      <c r="L392" s="1"/>
      <c r="M392" s="44"/>
      <c r="N392" s="1"/>
      <c r="O392" s="1"/>
      <c r="P392" s="1"/>
      <c r="Q392" s="1"/>
      <c r="R392" s="1"/>
      <c r="S392" s="1"/>
    </row>
    <row r="393" spans="10:19">
      <c r="J393" s="1"/>
      <c r="K393" s="1"/>
      <c r="L393" s="1"/>
      <c r="M393" s="44"/>
      <c r="N393" s="1"/>
      <c r="O393" s="1"/>
      <c r="P393" s="1"/>
      <c r="Q393" s="1"/>
      <c r="R393" s="1"/>
      <c r="S393" s="1"/>
    </row>
    <row r="394" spans="10:19">
      <c r="J394" s="1"/>
      <c r="K394" s="1"/>
      <c r="L394" s="1"/>
      <c r="M394" s="44"/>
      <c r="N394" s="1"/>
      <c r="O394" s="1"/>
      <c r="P394" s="1"/>
      <c r="Q394" s="1"/>
      <c r="R394" s="1"/>
      <c r="S394" s="1"/>
    </row>
    <row r="395" spans="10:19">
      <c r="J395" s="1"/>
      <c r="K395" s="1"/>
      <c r="L395" s="1"/>
      <c r="M395" s="44"/>
      <c r="N395" s="1"/>
      <c r="O395" s="1"/>
      <c r="P395" s="1"/>
      <c r="Q395" s="1"/>
      <c r="R395" s="1"/>
      <c r="S395" s="1"/>
    </row>
    <row r="396" spans="10:19">
      <c r="J396" s="1"/>
      <c r="K396" s="1"/>
      <c r="L396" s="1"/>
      <c r="M396" s="44"/>
      <c r="N396" s="1"/>
      <c r="O396" s="1"/>
      <c r="P396" s="1"/>
      <c r="Q396" s="1"/>
      <c r="R396" s="1"/>
      <c r="S396" s="1"/>
    </row>
    <row r="397" spans="10:19">
      <c r="J397" s="1"/>
      <c r="K397" s="1"/>
      <c r="L397" s="1"/>
      <c r="M397" s="44"/>
      <c r="N397" s="1"/>
      <c r="O397" s="1"/>
      <c r="P397" s="1"/>
      <c r="Q397" s="1"/>
      <c r="R397" s="1"/>
      <c r="S397" s="1"/>
    </row>
    <row r="398" spans="10:19">
      <c r="J398" s="1"/>
      <c r="K398" s="1"/>
      <c r="L398" s="1"/>
      <c r="M398" s="44"/>
      <c r="N398" s="1"/>
      <c r="O398" s="1"/>
      <c r="P398" s="1"/>
      <c r="Q398" s="1"/>
      <c r="R398" s="1"/>
      <c r="S398" s="1"/>
    </row>
    <row r="399" spans="10:19">
      <c r="J399" s="1"/>
      <c r="K399" s="1"/>
      <c r="L399" s="1"/>
      <c r="M399" s="44"/>
      <c r="N399" s="1"/>
      <c r="O399" s="1"/>
      <c r="P399" s="1"/>
      <c r="Q399" s="1"/>
      <c r="R399" s="1"/>
      <c r="S399" s="1"/>
    </row>
    <row r="400" spans="10:19">
      <c r="J400" s="1"/>
      <c r="K400" s="1"/>
      <c r="L400" s="1"/>
      <c r="M400" s="44"/>
      <c r="N400" s="1"/>
      <c r="O400" s="1"/>
      <c r="P400" s="1"/>
      <c r="Q400" s="1"/>
      <c r="R400" s="1"/>
      <c r="S400" s="1"/>
    </row>
    <row r="401" spans="10:19">
      <c r="J401" s="1"/>
      <c r="K401" s="1"/>
      <c r="L401" s="1"/>
      <c r="M401" s="44"/>
      <c r="N401" s="1"/>
      <c r="O401" s="1"/>
      <c r="P401" s="1"/>
      <c r="Q401" s="1"/>
      <c r="R401" s="1"/>
      <c r="S401" s="1"/>
    </row>
    <row r="402" spans="10:19">
      <c r="J402" s="1"/>
      <c r="K402" s="1"/>
      <c r="L402" s="1"/>
      <c r="M402" s="44"/>
      <c r="N402" s="1"/>
      <c r="O402" s="1"/>
      <c r="P402" s="1"/>
      <c r="Q402" s="1"/>
      <c r="R402" s="1"/>
      <c r="S402" s="1"/>
    </row>
    <row r="403" spans="10:19">
      <c r="J403" s="1"/>
      <c r="K403" s="1"/>
      <c r="L403" s="1"/>
      <c r="M403" s="44"/>
      <c r="N403" s="1"/>
      <c r="O403" s="1"/>
      <c r="P403" s="1"/>
      <c r="Q403" s="1"/>
      <c r="R403" s="1"/>
      <c r="S403" s="1"/>
    </row>
    <row r="404" spans="10:19">
      <c r="J404" s="1"/>
      <c r="K404" s="1"/>
      <c r="L404" s="1"/>
      <c r="M404" s="44"/>
      <c r="N404" s="1"/>
      <c r="O404" s="1"/>
      <c r="P404" s="1"/>
      <c r="Q404" s="1"/>
      <c r="R404" s="1"/>
      <c r="S404" s="1"/>
    </row>
    <row r="405" spans="10:19">
      <c r="J405" s="1"/>
      <c r="K405" s="1"/>
      <c r="L405" s="1"/>
      <c r="M405" s="44"/>
      <c r="N405" s="1"/>
      <c r="O405" s="1"/>
      <c r="P405" s="1"/>
      <c r="Q405" s="1"/>
      <c r="R405" s="1"/>
      <c r="S405" s="1"/>
    </row>
    <row r="406" spans="10:19">
      <c r="J406" s="1"/>
      <c r="K406" s="1"/>
      <c r="L406" s="1"/>
      <c r="M406" s="44"/>
      <c r="N406" s="1"/>
      <c r="O406" s="1"/>
      <c r="P406" s="1"/>
      <c r="Q406" s="1"/>
      <c r="R406" s="1"/>
      <c r="S406" s="1"/>
    </row>
    <row r="407" spans="10:19">
      <c r="J407" s="1"/>
      <c r="K407" s="1"/>
      <c r="L407" s="1"/>
      <c r="M407" s="44"/>
      <c r="N407" s="1"/>
      <c r="O407" s="1"/>
      <c r="P407" s="1"/>
      <c r="Q407" s="1"/>
      <c r="R407" s="1"/>
      <c r="S407" s="1"/>
    </row>
    <row r="408" spans="10:19">
      <c r="J408" s="1"/>
      <c r="K408" s="1"/>
      <c r="L408" s="1"/>
      <c r="M408" s="44"/>
      <c r="N408" s="1"/>
      <c r="O408" s="1"/>
      <c r="P408" s="1"/>
      <c r="Q408" s="1"/>
      <c r="R408" s="1"/>
      <c r="S408" s="1"/>
    </row>
    <row r="409" spans="10:19">
      <c r="J409" s="1"/>
      <c r="K409" s="1"/>
      <c r="L409" s="1"/>
      <c r="M409" s="44"/>
      <c r="N409" s="1"/>
      <c r="O409" s="1"/>
      <c r="P409" s="1"/>
      <c r="Q409" s="1"/>
      <c r="R409" s="1"/>
      <c r="S409" s="1"/>
    </row>
    <row r="410" spans="10:19">
      <c r="J410" s="1"/>
      <c r="K410" s="1"/>
      <c r="L410" s="1"/>
      <c r="M410" s="44"/>
      <c r="N410" s="1"/>
      <c r="O410" s="1"/>
      <c r="P410" s="1"/>
      <c r="Q410" s="1"/>
      <c r="R410" s="1"/>
      <c r="S410" s="1"/>
    </row>
    <row r="411" spans="10:19">
      <c r="J411" s="1"/>
      <c r="K411" s="1"/>
      <c r="L411" s="1"/>
      <c r="M411" s="44"/>
      <c r="N411" s="1"/>
      <c r="O411" s="1"/>
      <c r="P411" s="1"/>
      <c r="Q411" s="1"/>
      <c r="R411" s="1"/>
      <c r="S411" s="1"/>
    </row>
    <row r="412" spans="10:19">
      <c r="J412" s="1"/>
      <c r="K412" s="1"/>
      <c r="L412" s="1"/>
      <c r="M412" s="44"/>
      <c r="N412" s="1"/>
      <c r="O412" s="1"/>
      <c r="P412" s="1"/>
      <c r="Q412" s="1"/>
      <c r="R412" s="1"/>
      <c r="S412" s="1"/>
    </row>
    <row r="413" spans="10:19">
      <c r="J413" s="1"/>
      <c r="K413" s="1"/>
      <c r="L413" s="1"/>
      <c r="M413" s="44"/>
      <c r="N413" s="1"/>
      <c r="O413" s="1"/>
      <c r="P413" s="1"/>
      <c r="Q413" s="1"/>
      <c r="R413" s="1"/>
      <c r="S413" s="1"/>
    </row>
    <row r="414" spans="10:19">
      <c r="J414" s="1"/>
      <c r="K414" s="1"/>
      <c r="L414" s="1"/>
      <c r="M414" s="44"/>
      <c r="N414" s="1"/>
      <c r="O414" s="1"/>
      <c r="P414" s="1"/>
      <c r="Q414" s="1"/>
      <c r="R414" s="1"/>
      <c r="S414" s="1"/>
    </row>
    <row r="415" spans="10:19">
      <c r="J415" s="1"/>
      <c r="K415" s="1"/>
      <c r="L415" s="1"/>
      <c r="M415" s="44"/>
      <c r="N415" s="1"/>
      <c r="O415" s="1"/>
      <c r="P415" s="1"/>
      <c r="Q415" s="1"/>
      <c r="R415" s="1"/>
      <c r="S415" s="1"/>
    </row>
    <row r="416" spans="10:19">
      <c r="J416" s="1"/>
      <c r="K416" s="1"/>
      <c r="L416" s="1"/>
      <c r="M416" s="44"/>
      <c r="N416" s="1"/>
      <c r="O416" s="1"/>
      <c r="P416" s="1"/>
      <c r="Q416" s="1"/>
      <c r="R416" s="1"/>
      <c r="S416" s="1"/>
    </row>
    <row r="417" spans="10:19">
      <c r="J417" s="1"/>
      <c r="K417" s="1"/>
      <c r="L417" s="1"/>
      <c r="M417" s="44"/>
      <c r="N417" s="1"/>
      <c r="O417" s="1"/>
      <c r="P417" s="1"/>
      <c r="Q417" s="1"/>
      <c r="R417" s="1"/>
      <c r="S417" s="1"/>
    </row>
    <row r="418" spans="10:19">
      <c r="J418" s="1"/>
      <c r="K418" s="1"/>
      <c r="L418" s="1"/>
      <c r="M418" s="44"/>
      <c r="N418" s="1"/>
      <c r="O418" s="1"/>
      <c r="P418" s="1"/>
      <c r="Q418" s="1"/>
      <c r="R418" s="1"/>
      <c r="S418" s="1"/>
    </row>
    <row r="419" spans="10:19">
      <c r="J419" s="1"/>
      <c r="K419" s="1"/>
      <c r="L419" s="1"/>
      <c r="M419" s="44"/>
      <c r="N419" s="1"/>
      <c r="O419" s="1"/>
      <c r="P419" s="1"/>
      <c r="Q419" s="1"/>
      <c r="R419" s="1"/>
      <c r="S419" s="1"/>
    </row>
    <row r="420" spans="10:19">
      <c r="J420" s="1"/>
      <c r="K420" s="1"/>
      <c r="L420" s="1"/>
      <c r="M420" s="44"/>
      <c r="N420" s="1"/>
      <c r="O420" s="1"/>
      <c r="P420" s="1"/>
      <c r="Q420" s="1"/>
      <c r="R420" s="1"/>
      <c r="S420" s="1"/>
    </row>
    <row r="421" spans="10:19">
      <c r="J421" s="1"/>
      <c r="K421" s="1"/>
      <c r="L421" s="1"/>
      <c r="M421" s="44"/>
      <c r="N421" s="1"/>
      <c r="O421" s="1"/>
      <c r="P421" s="1"/>
      <c r="Q421" s="1"/>
      <c r="R421" s="1"/>
      <c r="S421" s="1"/>
    </row>
    <row r="422" spans="10:19">
      <c r="J422" s="1"/>
      <c r="K422" s="1"/>
      <c r="L422" s="1"/>
      <c r="M422" s="44"/>
      <c r="N422" s="1"/>
      <c r="O422" s="1"/>
      <c r="P422" s="1"/>
      <c r="Q422" s="1"/>
      <c r="R422" s="1"/>
      <c r="S422" s="1"/>
    </row>
    <row r="423" spans="10:19">
      <c r="J423" s="1"/>
      <c r="K423" s="1"/>
      <c r="L423" s="1"/>
      <c r="M423" s="44"/>
      <c r="N423" s="1"/>
      <c r="O423" s="1"/>
      <c r="P423" s="1"/>
      <c r="Q423" s="1"/>
      <c r="R423" s="1"/>
      <c r="S423" s="1"/>
    </row>
    <row r="424" spans="10:19">
      <c r="J424" s="1"/>
      <c r="K424" s="1"/>
      <c r="L424" s="1"/>
      <c r="M424" s="44"/>
      <c r="N424" s="1"/>
      <c r="O424" s="1"/>
      <c r="P424" s="1"/>
      <c r="Q424" s="1"/>
      <c r="R424" s="1"/>
      <c r="S424" s="1"/>
    </row>
    <row r="425" spans="10:19">
      <c r="J425" s="1"/>
      <c r="K425" s="1"/>
      <c r="L425" s="1"/>
      <c r="M425" s="44"/>
      <c r="N425" s="1"/>
      <c r="O425" s="1"/>
      <c r="P425" s="1"/>
      <c r="Q425" s="1"/>
      <c r="R425" s="1"/>
      <c r="S425" s="1"/>
    </row>
    <row r="426" spans="10:19">
      <c r="J426" s="1"/>
      <c r="K426" s="1"/>
      <c r="L426" s="1"/>
      <c r="M426" s="44"/>
      <c r="N426" s="1"/>
      <c r="O426" s="1"/>
      <c r="P426" s="1"/>
      <c r="Q426" s="1"/>
      <c r="R426" s="1"/>
      <c r="S426" s="1"/>
    </row>
    <row r="427" spans="10:19">
      <c r="J427" s="1"/>
      <c r="K427" s="1"/>
      <c r="L427" s="1"/>
      <c r="M427" s="44"/>
      <c r="N427" s="1"/>
      <c r="O427" s="1"/>
      <c r="P427" s="1"/>
      <c r="Q427" s="1"/>
      <c r="R427" s="1"/>
      <c r="S427" s="1"/>
    </row>
    <row r="428" spans="10:19">
      <c r="J428" s="1"/>
      <c r="K428" s="1"/>
      <c r="L428" s="1"/>
      <c r="M428" s="44"/>
      <c r="N428" s="1"/>
      <c r="O428" s="1"/>
      <c r="P428" s="1"/>
      <c r="Q428" s="1"/>
      <c r="R428" s="1"/>
      <c r="S428" s="1"/>
    </row>
    <row r="429" spans="10:19">
      <c r="J429" s="1"/>
      <c r="K429" s="1"/>
      <c r="L429" s="1"/>
      <c r="M429" s="44"/>
      <c r="N429" s="1"/>
      <c r="O429" s="1"/>
      <c r="P429" s="1"/>
      <c r="Q429" s="1"/>
      <c r="R429" s="1"/>
      <c r="S429" s="1"/>
    </row>
    <row r="430" spans="10:19">
      <c r="J430" s="1"/>
      <c r="K430" s="1"/>
      <c r="L430" s="1"/>
      <c r="M430" s="44"/>
      <c r="N430" s="1"/>
      <c r="O430" s="1"/>
      <c r="P430" s="1"/>
      <c r="Q430" s="1"/>
      <c r="R430" s="1"/>
      <c r="S430" s="1"/>
    </row>
    <row r="431" spans="10:19">
      <c r="J431" s="1"/>
      <c r="K431" s="1"/>
      <c r="L431" s="1"/>
      <c r="M431" s="44"/>
      <c r="N431" s="1"/>
      <c r="O431" s="1"/>
      <c r="P431" s="1"/>
      <c r="Q431" s="1"/>
      <c r="R431" s="1"/>
      <c r="S431" s="1"/>
    </row>
    <row r="432" spans="10:19">
      <c r="J432" s="1"/>
      <c r="K432" s="1"/>
      <c r="L432" s="1"/>
      <c r="M432" s="44"/>
      <c r="N432" s="1"/>
      <c r="O432" s="1"/>
      <c r="P432" s="1"/>
      <c r="Q432" s="1"/>
      <c r="R432" s="1"/>
      <c r="S432" s="1"/>
    </row>
    <row r="433" spans="10:19">
      <c r="J433" s="1"/>
      <c r="K433" s="1"/>
      <c r="L433" s="1"/>
      <c r="M433" s="44"/>
      <c r="N433" s="1"/>
      <c r="O433" s="1"/>
      <c r="P433" s="1"/>
      <c r="Q433" s="1"/>
      <c r="R433" s="1"/>
      <c r="S433" s="1"/>
    </row>
    <row r="434" spans="10:19">
      <c r="J434" s="1"/>
      <c r="K434" s="1"/>
      <c r="L434" s="1"/>
      <c r="M434" s="44"/>
      <c r="N434" s="1"/>
      <c r="O434" s="1"/>
      <c r="P434" s="1"/>
      <c r="Q434" s="1"/>
      <c r="R434" s="1"/>
      <c r="S434" s="1"/>
    </row>
    <row r="435" spans="10:19">
      <c r="J435" s="1"/>
      <c r="K435" s="1"/>
      <c r="L435" s="1"/>
      <c r="M435" s="44"/>
      <c r="N435" s="1"/>
      <c r="O435" s="1"/>
      <c r="P435" s="1"/>
      <c r="Q435" s="1"/>
      <c r="R435" s="1"/>
      <c r="S435" s="1"/>
    </row>
    <row r="436" spans="10:19">
      <c r="J436" s="1"/>
      <c r="K436" s="1"/>
      <c r="L436" s="1"/>
      <c r="M436" s="44"/>
      <c r="N436" s="1"/>
      <c r="O436" s="1"/>
      <c r="P436" s="1"/>
      <c r="Q436" s="1"/>
      <c r="R436" s="1"/>
      <c r="S436" s="1"/>
    </row>
    <row r="437" spans="10:19">
      <c r="J437" s="1"/>
      <c r="K437" s="1"/>
      <c r="L437" s="1"/>
      <c r="M437" s="44"/>
      <c r="N437" s="1"/>
      <c r="O437" s="1"/>
      <c r="P437" s="1"/>
      <c r="Q437" s="1"/>
      <c r="R437" s="1"/>
      <c r="S437" s="1"/>
    </row>
    <row r="438" spans="10:19">
      <c r="J438" s="1"/>
      <c r="K438" s="1"/>
      <c r="L438" s="1"/>
      <c r="M438" s="44"/>
      <c r="N438" s="1"/>
      <c r="O438" s="1"/>
      <c r="P438" s="1"/>
      <c r="Q438" s="1"/>
      <c r="R438" s="1"/>
      <c r="S438" s="1"/>
    </row>
    <row r="439" spans="10:19">
      <c r="J439" s="1"/>
      <c r="K439" s="1"/>
      <c r="L439" s="1"/>
      <c r="M439" s="44"/>
      <c r="N439" s="1"/>
      <c r="O439" s="1"/>
      <c r="P439" s="1"/>
      <c r="Q439" s="1"/>
      <c r="R439" s="1"/>
      <c r="S439" s="1"/>
    </row>
    <row r="440" spans="10:19">
      <c r="J440" s="1"/>
      <c r="K440" s="1"/>
      <c r="L440" s="1"/>
      <c r="M440" s="44"/>
      <c r="N440" s="1"/>
      <c r="O440" s="1"/>
      <c r="P440" s="1"/>
      <c r="Q440" s="1"/>
      <c r="R440" s="1"/>
      <c r="S440" s="1"/>
    </row>
    <row r="441" spans="10:19">
      <c r="J441" s="1"/>
      <c r="K441" s="1"/>
      <c r="L441" s="1"/>
      <c r="M441" s="44"/>
      <c r="N441" s="1"/>
      <c r="O441" s="1"/>
      <c r="P441" s="1"/>
      <c r="Q441" s="1"/>
      <c r="R441" s="1"/>
      <c r="S441" s="1"/>
    </row>
    <row r="442" spans="10:19">
      <c r="J442" s="1"/>
      <c r="K442" s="1"/>
      <c r="L442" s="1"/>
      <c r="M442" s="44"/>
      <c r="N442" s="1"/>
      <c r="O442" s="1"/>
      <c r="P442" s="1"/>
      <c r="Q442" s="1"/>
      <c r="R442" s="1"/>
      <c r="S442" s="1"/>
    </row>
    <row r="443" spans="10:19">
      <c r="J443" s="1"/>
      <c r="K443" s="1"/>
      <c r="L443" s="1"/>
      <c r="M443" s="44"/>
      <c r="N443" s="1"/>
      <c r="O443" s="1"/>
      <c r="P443" s="1"/>
      <c r="Q443" s="1"/>
      <c r="R443" s="1"/>
      <c r="S443" s="1"/>
    </row>
    <row r="444" spans="10:19">
      <c r="J444" s="1"/>
      <c r="K444" s="1"/>
      <c r="L444" s="1"/>
      <c r="M444" s="44"/>
      <c r="N444" s="1"/>
      <c r="O444" s="1"/>
      <c r="P444" s="1"/>
      <c r="Q444" s="1"/>
      <c r="R444" s="1"/>
      <c r="S444" s="1"/>
    </row>
    <row r="445" spans="10:19">
      <c r="J445" s="1"/>
      <c r="K445" s="1"/>
      <c r="L445" s="1"/>
      <c r="M445" s="44"/>
      <c r="N445" s="1"/>
      <c r="O445" s="1"/>
      <c r="P445" s="1"/>
      <c r="Q445" s="1"/>
      <c r="R445" s="1"/>
      <c r="S445" s="1"/>
    </row>
    <row r="446" spans="10:19">
      <c r="J446" s="1"/>
      <c r="K446" s="1"/>
      <c r="L446" s="1"/>
      <c r="M446" s="44"/>
      <c r="N446" s="1"/>
      <c r="O446" s="1"/>
      <c r="P446" s="1"/>
      <c r="Q446" s="1"/>
      <c r="R446" s="1"/>
      <c r="S446" s="1"/>
    </row>
    <row r="447" spans="10:19">
      <c r="J447" s="1"/>
      <c r="K447" s="1"/>
      <c r="L447" s="1"/>
      <c r="M447" s="44"/>
      <c r="N447" s="1"/>
      <c r="O447" s="1"/>
      <c r="P447" s="1"/>
      <c r="Q447" s="1"/>
      <c r="R447" s="1"/>
      <c r="S447" s="1"/>
    </row>
    <row r="448" spans="10:19">
      <c r="J448" s="1"/>
      <c r="K448" s="1"/>
      <c r="L448" s="1"/>
      <c r="M448" s="44"/>
      <c r="N448" s="1"/>
      <c r="O448" s="1"/>
      <c r="P448" s="1"/>
      <c r="Q448" s="1"/>
      <c r="R448" s="1"/>
      <c r="S448" s="1"/>
    </row>
    <row r="449" spans="10:19">
      <c r="J449" s="1"/>
      <c r="K449" s="1"/>
      <c r="L449" s="1"/>
      <c r="M449" s="44"/>
      <c r="N449" s="1"/>
      <c r="O449" s="1"/>
      <c r="P449" s="1"/>
      <c r="Q449" s="1"/>
      <c r="R449" s="1"/>
      <c r="S449" s="1"/>
    </row>
    <row r="450" spans="10:19">
      <c r="J450" s="1"/>
      <c r="K450" s="1"/>
      <c r="L450" s="1"/>
      <c r="M450" s="44"/>
      <c r="N450" s="1"/>
      <c r="O450" s="1"/>
      <c r="P450" s="1"/>
      <c r="Q450" s="1"/>
      <c r="R450" s="1"/>
      <c r="S450" s="1"/>
    </row>
    <row r="451" spans="10:19">
      <c r="J451" s="1"/>
      <c r="K451" s="1"/>
      <c r="L451" s="1"/>
      <c r="M451" s="44"/>
      <c r="N451" s="1"/>
      <c r="O451" s="1"/>
      <c r="P451" s="1"/>
      <c r="Q451" s="1"/>
      <c r="R451" s="1"/>
      <c r="S451" s="1"/>
    </row>
    <row r="452" spans="10:19">
      <c r="J452" s="1"/>
      <c r="K452" s="1"/>
      <c r="L452" s="1"/>
      <c r="M452" s="44"/>
      <c r="N452" s="1"/>
      <c r="O452" s="1"/>
      <c r="P452" s="1"/>
      <c r="Q452" s="1"/>
      <c r="R452" s="1"/>
      <c r="S452" s="1"/>
    </row>
    <row r="453" spans="10:19">
      <c r="J453" s="1"/>
      <c r="K453" s="1"/>
      <c r="L453" s="1"/>
      <c r="M453" s="44"/>
      <c r="N453" s="1"/>
      <c r="O453" s="1"/>
      <c r="P453" s="1"/>
      <c r="Q453" s="1"/>
      <c r="R453" s="1"/>
      <c r="S453" s="1"/>
    </row>
    <row r="454" spans="10:19">
      <c r="J454" s="1"/>
      <c r="K454" s="1"/>
      <c r="L454" s="1"/>
      <c r="M454" s="44"/>
      <c r="N454" s="1"/>
      <c r="O454" s="1"/>
      <c r="P454" s="1"/>
      <c r="Q454" s="1"/>
      <c r="R454" s="1"/>
      <c r="S454" s="1"/>
    </row>
    <row r="455" spans="10:19">
      <c r="J455" s="1"/>
      <c r="K455" s="1"/>
      <c r="L455" s="1"/>
      <c r="M455" s="44"/>
      <c r="N455" s="1"/>
      <c r="O455" s="1"/>
      <c r="P455" s="1"/>
      <c r="Q455" s="1"/>
      <c r="R455" s="1"/>
      <c r="S455" s="1"/>
    </row>
    <row r="456" spans="10:19">
      <c r="J456" s="1"/>
      <c r="K456" s="1"/>
      <c r="L456" s="1"/>
      <c r="M456" s="44"/>
      <c r="N456" s="1"/>
      <c r="O456" s="1"/>
      <c r="P456" s="1"/>
      <c r="Q456" s="1"/>
      <c r="R456" s="1"/>
      <c r="S456" s="1"/>
    </row>
    <row r="457" spans="10:19">
      <c r="J457" s="1"/>
      <c r="K457" s="1"/>
      <c r="L457" s="1"/>
      <c r="M457" s="44"/>
      <c r="N457" s="1"/>
      <c r="O457" s="1"/>
      <c r="P457" s="1"/>
      <c r="Q457" s="1"/>
      <c r="R457" s="1"/>
      <c r="S457" s="1"/>
    </row>
    <row r="458" spans="10:19">
      <c r="J458" s="1"/>
      <c r="K458" s="1"/>
      <c r="L458" s="1"/>
      <c r="M458" s="44"/>
      <c r="N458" s="1"/>
      <c r="O458" s="1"/>
      <c r="P458" s="1"/>
      <c r="Q458" s="1"/>
      <c r="R458" s="1"/>
      <c r="S458" s="1"/>
    </row>
    <row r="459" spans="10:19">
      <c r="J459" s="1"/>
      <c r="K459" s="1"/>
      <c r="L459" s="1"/>
      <c r="M459" s="44"/>
      <c r="N459" s="1"/>
      <c r="O459" s="1"/>
      <c r="P459" s="1"/>
      <c r="Q459" s="1"/>
      <c r="R459" s="1"/>
      <c r="S459" s="1"/>
    </row>
    <row r="460" spans="10:19">
      <c r="J460" s="1"/>
      <c r="K460" s="1"/>
      <c r="L460" s="1"/>
      <c r="M460" s="44"/>
      <c r="N460" s="1"/>
      <c r="O460" s="1"/>
      <c r="P460" s="1"/>
      <c r="Q460" s="1"/>
      <c r="R460" s="1"/>
      <c r="S460" s="1"/>
    </row>
    <row r="461" spans="10:19">
      <c r="J461" s="1"/>
      <c r="K461" s="1"/>
      <c r="L461" s="1"/>
      <c r="M461" s="44"/>
      <c r="N461" s="1"/>
      <c r="O461" s="1"/>
      <c r="P461" s="1"/>
      <c r="Q461" s="1"/>
      <c r="R461" s="1"/>
      <c r="S461" s="1"/>
    </row>
    <row r="462" spans="10:19">
      <c r="J462" s="1"/>
      <c r="K462" s="1"/>
      <c r="L462" s="1"/>
      <c r="M462" s="44"/>
      <c r="N462" s="1"/>
      <c r="O462" s="1"/>
      <c r="P462" s="1"/>
      <c r="Q462" s="1"/>
      <c r="R462" s="1"/>
      <c r="S462" s="1"/>
    </row>
    <row r="463" spans="10:19">
      <c r="J463" s="1"/>
      <c r="K463" s="1"/>
      <c r="L463" s="1"/>
      <c r="M463" s="44"/>
      <c r="N463" s="1"/>
      <c r="O463" s="1"/>
      <c r="P463" s="1"/>
      <c r="Q463" s="1"/>
      <c r="R463" s="1"/>
      <c r="S463" s="1"/>
    </row>
    <row r="464" spans="10:19">
      <c r="J464" s="1"/>
      <c r="K464" s="1"/>
      <c r="L464" s="1"/>
      <c r="M464" s="44"/>
      <c r="N464" s="1"/>
      <c r="O464" s="1"/>
      <c r="P464" s="1"/>
      <c r="Q464" s="1"/>
      <c r="R464" s="1"/>
      <c r="S464" s="1"/>
    </row>
    <row r="465" spans="10:19">
      <c r="J465" s="1"/>
      <c r="K465" s="1"/>
      <c r="L465" s="1"/>
      <c r="M465" s="44"/>
      <c r="N465" s="1"/>
      <c r="O465" s="1"/>
      <c r="P465" s="1"/>
      <c r="Q465" s="1"/>
      <c r="R465" s="1"/>
      <c r="S465" s="1"/>
    </row>
    <row r="466" spans="10:19">
      <c r="J466" s="1"/>
      <c r="K466" s="1"/>
      <c r="L466" s="1"/>
      <c r="M466" s="44"/>
      <c r="N466" s="1"/>
      <c r="O466" s="1"/>
      <c r="P466" s="1"/>
      <c r="Q466" s="1"/>
      <c r="R466" s="1"/>
      <c r="S466" s="1"/>
    </row>
    <row r="467" spans="10:19">
      <c r="J467" s="1"/>
      <c r="K467" s="1"/>
      <c r="L467" s="1"/>
      <c r="M467" s="44"/>
      <c r="N467" s="1"/>
      <c r="O467" s="1"/>
      <c r="P467" s="1"/>
      <c r="Q467" s="1"/>
      <c r="R467" s="1"/>
      <c r="S467" s="1"/>
    </row>
    <row r="468" spans="10:19">
      <c r="J468" s="1"/>
      <c r="K468" s="1"/>
      <c r="L468" s="1"/>
      <c r="M468" s="44"/>
      <c r="N468" s="1"/>
      <c r="O468" s="1"/>
      <c r="P468" s="1"/>
      <c r="Q468" s="1"/>
      <c r="R468" s="1"/>
      <c r="S468" s="1"/>
    </row>
    <row r="469" spans="10:19">
      <c r="J469" s="1"/>
      <c r="K469" s="1"/>
      <c r="L469" s="1"/>
      <c r="M469" s="44"/>
      <c r="N469" s="1"/>
      <c r="O469" s="1"/>
      <c r="P469" s="1"/>
      <c r="Q469" s="1"/>
      <c r="R469" s="1"/>
      <c r="S469" s="1"/>
    </row>
    <row r="470" spans="10:19">
      <c r="J470" s="1"/>
      <c r="K470" s="1"/>
      <c r="L470" s="1"/>
      <c r="M470" s="44"/>
      <c r="N470" s="1"/>
      <c r="O470" s="1"/>
      <c r="P470" s="1"/>
      <c r="Q470" s="1"/>
      <c r="R470" s="1"/>
      <c r="S470" s="1"/>
    </row>
    <row r="471" spans="10:19">
      <c r="J471" s="1"/>
      <c r="K471" s="1"/>
      <c r="L471" s="1"/>
      <c r="M471" s="44"/>
      <c r="N471" s="1"/>
      <c r="O471" s="1"/>
      <c r="P471" s="1"/>
      <c r="Q471" s="1"/>
      <c r="R471" s="1"/>
      <c r="S471" s="1"/>
    </row>
    <row r="472" spans="10:19">
      <c r="J472" s="1"/>
      <c r="K472" s="1"/>
      <c r="L472" s="1"/>
      <c r="M472" s="44"/>
      <c r="N472" s="1"/>
      <c r="O472" s="1"/>
      <c r="P472" s="1"/>
      <c r="Q472" s="1"/>
      <c r="R472" s="1"/>
      <c r="S472" s="1"/>
    </row>
    <row r="473" spans="10:19">
      <c r="J473" s="1"/>
      <c r="K473" s="1"/>
      <c r="L473" s="1"/>
      <c r="M473" s="44"/>
      <c r="N473" s="1"/>
      <c r="O473" s="1"/>
      <c r="P473" s="1"/>
      <c r="Q473" s="1"/>
      <c r="R473" s="1"/>
      <c r="S473" s="1"/>
    </row>
    <row r="474" spans="10:19">
      <c r="J474" s="1"/>
      <c r="K474" s="1"/>
      <c r="L474" s="1"/>
      <c r="M474" s="44"/>
      <c r="N474" s="1"/>
      <c r="O474" s="1"/>
      <c r="P474" s="1"/>
      <c r="Q474" s="1"/>
      <c r="R474" s="1"/>
      <c r="S474" s="1"/>
    </row>
    <row r="475" spans="10:19">
      <c r="J475" s="1"/>
      <c r="K475" s="1"/>
      <c r="L475" s="1"/>
      <c r="M475" s="44"/>
      <c r="N475" s="1"/>
      <c r="O475" s="1"/>
      <c r="P475" s="1"/>
      <c r="Q475" s="1"/>
      <c r="R475" s="1"/>
      <c r="S475" s="1"/>
    </row>
    <row r="476" spans="10:19">
      <c r="J476" s="1"/>
      <c r="K476" s="1"/>
      <c r="L476" s="1"/>
      <c r="M476" s="44"/>
      <c r="N476" s="1"/>
      <c r="O476" s="1"/>
      <c r="P476" s="1"/>
      <c r="Q476" s="1"/>
      <c r="R476" s="1"/>
      <c r="S476" s="1"/>
    </row>
    <row r="477" spans="10:19">
      <c r="J477" s="1"/>
      <c r="K477" s="1"/>
      <c r="L477" s="1"/>
      <c r="M477" s="44"/>
      <c r="N477" s="1"/>
      <c r="O477" s="1"/>
      <c r="P477" s="1"/>
      <c r="Q477" s="1"/>
      <c r="R477" s="1"/>
      <c r="S477" s="1"/>
    </row>
    <row r="478" spans="10:19">
      <c r="J478" s="1"/>
      <c r="K478" s="1"/>
      <c r="L478" s="1"/>
      <c r="M478" s="44"/>
      <c r="N478" s="1"/>
      <c r="O478" s="1"/>
      <c r="P478" s="1"/>
      <c r="Q478" s="1"/>
      <c r="R478" s="1"/>
      <c r="S478" s="1"/>
    </row>
    <row r="479" spans="10:19">
      <c r="J479" s="1"/>
      <c r="K479" s="1"/>
      <c r="L479" s="1"/>
      <c r="M479" s="44"/>
      <c r="N479" s="1"/>
      <c r="O479" s="1"/>
      <c r="P479" s="1"/>
      <c r="Q479" s="1"/>
      <c r="R479" s="1"/>
      <c r="S479" s="1"/>
    </row>
    <row r="480" spans="10:19">
      <c r="J480" s="1"/>
      <c r="K480" s="1"/>
      <c r="L480" s="1"/>
      <c r="M480" s="44"/>
      <c r="N480" s="1"/>
      <c r="O480" s="1"/>
      <c r="P480" s="1"/>
      <c r="Q480" s="1"/>
      <c r="R480" s="1"/>
      <c r="S480" s="1"/>
    </row>
    <row r="481" spans="10:19">
      <c r="J481" s="1"/>
      <c r="K481" s="1"/>
      <c r="L481" s="1"/>
      <c r="M481" s="44"/>
      <c r="N481" s="1"/>
      <c r="O481" s="1"/>
      <c r="P481" s="1"/>
      <c r="Q481" s="1"/>
      <c r="R481" s="1"/>
      <c r="S481" s="1"/>
    </row>
    <row r="482" spans="10:19">
      <c r="J482" s="1"/>
      <c r="K482" s="1"/>
      <c r="L482" s="1"/>
      <c r="M482" s="44"/>
      <c r="N482" s="1"/>
      <c r="O482" s="1"/>
      <c r="P482" s="1"/>
      <c r="Q482" s="1"/>
      <c r="R482" s="1"/>
      <c r="S482" s="1"/>
    </row>
    <row r="483" spans="10:19">
      <c r="J483" s="1"/>
      <c r="K483" s="1"/>
      <c r="L483" s="1"/>
      <c r="M483" s="44"/>
      <c r="N483" s="1"/>
      <c r="O483" s="1"/>
      <c r="P483" s="1"/>
      <c r="Q483" s="1"/>
      <c r="R483" s="1"/>
      <c r="S483" s="1"/>
    </row>
    <row r="484" spans="10:19">
      <c r="J484" s="1"/>
      <c r="K484" s="1"/>
      <c r="L484" s="1"/>
      <c r="M484" s="44"/>
      <c r="N484" s="1"/>
      <c r="O484" s="1"/>
      <c r="P484" s="1"/>
      <c r="Q484" s="1"/>
      <c r="R484" s="1"/>
      <c r="S484" s="1"/>
    </row>
    <row r="485" spans="10:19">
      <c r="J485" s="1"/>
      <c r="K485" s="1"/>
      <c r="L485" s="1"/>
      <c r="M485" s="44"/>
      <c r="N485" s="1"/>
      <c r="O485" s="1"/>
      <c r="P485" s="1"/>
      <c r="Q485" s="1"/>
      <c r="R485" s="1"/>
      <c r="S485" s="1"/>
    </row>
    <row r="486" spans="10:19">
      <c r="J486" s="1"/>
      <c r="K486" s="1"/>
      <c r="L486" s="1"/>
      <c r="M486" s="44"/>
      <c r="N486" s="1"/>
      <c r="O486" s="1"/>
      <c r="P486" s="1"/>
      <c r="Q486" s="1"/>
      <c r="R486" s="1"/>
      <c r="S486" s="1"/>
    </row>
    <row r="487" spans="10:19">
      <c r="J487" s="1"/>
      <c r="K487" s="1"/>
      <c r="L487" s="1"/>
      <c r="M487" s="44"/>
      <c r="N487" s="1"/>
      <c r="O487" s="1"/>
      <c r="P487" s="1"/>
      <c r="Q487" s="1"/>
      <c r="R487" s="1"/>
      <c r="S487" s="1"/>
    </row>
    <row r="488" spans="10:19">
      <c r="J488" s="1"/>
      <c r="K488" s="1"/>
      <c r="L488" s="1"/>
      <c r="M488" s="44"/>
      <c r="N488" s="1"/>
      <c r="O488" s="1"/>
      <c r="P488" s="1"/>
      <c r="Q488" s="1"/>
      <c r="R488" s="1"/>
      <c r="S488" s="1"/>
    </row>
    <row r="489" spans="10:19">
      <c r="J489" s="1"/>
      <c r="K489" s="1"/>
      <c r="L489" s="1"/>
      <c r="M489" s="44"/>
      <c r="N489" s="1"/>
      <c r="O489" s="1"/>
      <c r="P489" s="1"/>
      <c r="Q489" s="1"/>
      <c r="R489" s="1"/>
      <c r="S489" s="1"/>
    </row>
    <row r="490" spans="10:19">
      <c r="J490" s="1"/>
      <c r="K490" s="1"/>
      <c r="L490" s="1"/>
      <c r="M490" s="44"/>
      <c r="N490" s="1"/>
      <c r="O490" s="1"/>
      <c r="P490" s="1"/>
      <c r="Q490" s="1"/>
      <c r="R490" s="1"/>
      <c r="S490" s="1"/>
    </row>
    <row r="491" spans="10:19">
      <c r="J491" s="1"/>
      <c r="K491" s="1"/>
      <c r="L491" s="1"/>
      <c r="M491" s="44"/>
      <c r="N491" s="1"/>
      <c r="O491" s="1"/>
      <c r="P491" s="1"/>
      <c r="Q491" s="1"/>
      <c r="R491" s="1"/>
      <c r="S491" s="1"/>
    </row>
    <row r="492" spans="10:19">
      <c r="J492" s="1"/>
      <c r="K492" s="1"/>
      <c r="L492" s="1"/>
      <c r="M492" s="44"/>
      <c r="N492" s="1"/>
      <c r="O492" s="1"/>
      <c r="P492" s="1"/>
      <c r="Q492" s="1"/>
      <c r="R492" s="1"/>
      <c r="S492" s="1"/>
    </row>
    <row r="493" spans="10:19">
      <c r="J493" s="1"/>
      <c r="K493" s="1"/>
      <c r="L493" s="1"/>
      <c r="M493" s="44"/>
      <c r="N493" s="1"/>
      <c r="O493" s="1"/>
      <c r="P493" s="1"/>
      <c r="Q493" s="1"/>
      <c r="R493" s="1"/>
      <c r="S493" s="1"/>
    </row>
    <row r="494" spans="10:19">
      <c r="J494" s="1"/>
      <c r="K494" s="1"/>
      <c r="L494" s="1"/>
      <c r="M494" s="44"/>
      <c r="N494" s="1"/>
      <c r="O494" s="1"/>
      <c r="P494" s="1"/>
      <c r="Q494" s="1"/>
      <c r="R494" s="1"/>
      <c r="S494" s="1"/>
    </row>
    <row r="495" spans="10:19">
      <c r="J495" s="1"/>
      <c r="K495" s="1"/>
      <c r="L495" s="1"/>
      <c r="M495" s="44"/>
      <c r="N495" s="1"/>
      <c r="O495" s="1"/>
      <c r="P495" s="1"/>
      <c r="Q495" s="1"/>
      <c r="R495" s="1"/>
      <c r="S495" s="1"/>
    </row>
    <row r="496" spans="10:19">
      <c r="J496" s="1"/>
      <c r="K496" s="1"/>
      <c r="L496" s="1"/>
      <c r="M496" s="44"/>
      <c r="N496" s="1"/>
      <c r="O496" s="1"/>
      <c r="P496" s="1"/>
      <c r="Q496" s="1"/>
      <c r="R496" s="1"/>
      <c r="S496" s="1"/>
    </row>
    <row r="497" spans="10:19">
      <c r="J497" s="1"/>
      <c r="K497" s="1"/>
      <c r="L497" s="1"/>
      <c r="M497" s="44"/>
      <c r="N497" s="1"/>
      <c r="O497" s="1"/>
      <c r="P497" s="1"/>
      <c r="Q497" s="1"/>
      <c r="R497" s="1"/>
      <c r="S497" s="1"/>
    </row>
    <row r="498" spans="10:19">
      <c r="J498" s="1"/>
      <c r="K498" s="1"/>
      <c r="L498" s="1"/>
      <c r="M498" s="44"/>
      <c r="N498" s="1"/>
      <c r="O498" s="1"/>
      <c r="P498" s="1"/>
      <c r="Q498" s="1"/>
      <c r="R498" s="1"/>
      <c r="S498" s="1"/>
    </row>
    <row r="499" spans="10:19">
      <c r="J499" s="1"/>
      <c r="K499" s="1"/>
      <c r="L499" s="1"/>
      <c r="M499" s="44"/>
      <c r="N499" s="1"/>
      <c r="O499" s="1"/>
      <c r="P499" s="1"/>
      <c r="Q499" s="1"/>
      <c r="R499" s="1"/>
      <c r="S499" s="1"/>
    </row>
    <row r="500" spans="10:19">
      <c r="J500" s="1"/>
      <c r="K500" s="1"/>
      <c r="L500" s="1"/>
      <c r="M500" s="44"/>
      <c r="N500" s="1"/>
      <c r="O500" s="1"/>
      <c r="P500" s="1"/>
      <c r="Q500" s="1"/>
      <c r="R500" s="1"/>
      <c r="S500" s="1"/>
    </row>
    <row r="501" spans="10:19">
      <c r="J501" s="1"/>
      <c r="K501" s="1"/>
      <c r="L501" s="1"/>
      <c r="M501" s="44"/>
      <c r="N501" s="1"/>
      <c r="O501" s="1"/>
      <c r="P501" s="1"/>
      <c r="Q501" s="1"/>
      <c r="R501" s="1"/>
      <c r="S501" s="1"/>
    </row>
    <row r="502" spans="10:19">
      <c r="J502" s="1"/>
      <c r="K502" s="1"/>
      <c r="L502" s="1"/>
      <c r="M502" s="44"/>
      <c r="N502" s="1"/>
      <c r="O502" s="1"/>
      <c r="P502" s="1"/>
      <c r="Q502" s="1"/>
      <c r="R502" s="1"/>
      <c r="S502" s="1"/>
    </row>
    <row r="503" spans="10:19">
      <c r="J503" s="1"/>
      <c r="K503" s="1"/>
      <c r="L503" s="1"/>
      <c r="M503" s="44"/>
      <c r="N503" s="1"/>
      <c r="O503" s="1"/>
      <c r="P503" s="1"/>
      <c r="Q503" s="1"/>
      <c r="R503" s="1"/>
      <c r="S503" s="1"/>
    </row>
    <row r="504" spans="10:19">
      <c r="J504" s="1"/>
      <c r="K504" s="1"/>
      <c r="L504" s="1"/>
      <c r="M504" s="44"/>
      <c r="N504" s="1"/>
      <c r="O504" s="1"/>
      <c r="P504" s="1"/>
      <c r="Q504" s="1"/>
      <c r="R504" s="1"/>
      <c r="S504" s="1"/>
    </row>
    <row r="505" spans="10:19">
      <c r="J505" s="1"/>
      <c r="K505" s="1"/>
      <c r="L505" s="1"/>
      <c r="M505" s="44"/>
      <c r="N505" s="1"/>
      <c r="O505" s="1"/>
      <c r="P505" s="1"/>
      <c r="Q505" s="1"/>
      <c r="R505" s="1"/>
      <c r="S505" s="1"/>
    </row>
    <row r="506" spans="10:19">
      <c r="J506" s="1"/>
      <c r="K506" s="1"/>
      <c r="L506" s="1"/>
      <c r="M506" s="44"/>
      <c r="N506" s="1"/>
      <c r="O506" s="1"/>
      <c r="P506" s="1"/>
      <c r="Q506" s="1"/>
      <c r="R506" s="1"/>
      <c r="S506" s="1"/>
    </row>
    <row r="507" spans="10:19">
      <c r="J507" s="1"/>
      <c r="K507" s="1"/>
      <c r="L507" s="1"/>
      <c r="M507" s="44"/>
      <c r="N507" s="1"/>
      <c r="O507" s="1"/>
      <c r="P507" s="1"/>
      <c r="Q507" s="1"/>
      <c r="R507" s="1"/>
      <c r="S507" s="1"/>
    </row>
    <row r="508" spans="10:19">
      <c r="J508" s="1"/>
      <c r="K508" s="1"/>
      <c r="L508" s="1"/>
      <c r="M508" s="44"/>
      <c r="N508" s="1"/>
      <c r="O508" s="1"/>
      <c r="P508" s="1"/>
      <c r="Q508" s="1"/>
      <c r="R508" s="1"/>
      <c r="S508" s="1"/>
    </row>
    <row r="509" spans="10:19">
      <c r="J509" s="1"/>
      <c r="K509" s="1"/>
      <c r="L509" s="1"/>
      <c r="M509" s="44"/>
      <c r="N509" s="1"/>
      <c r="O509" s="1"/>
      <c r="P509" s="1"/>
      <c r="Q509" s="1"/>
      <c r="R509" s="1"/>
      <c r="S509" s="1"/>
    </row>
    <row r="510" spans="10:19">
      <c r="J510" s="1"/>
      <c r="K510" s="1"/>
      <c r="L510" s="1"/>
      <c r="M510" s="44"/>
      <c r="N510" s="1"/>
      <c r="O510" s="1"/>
      <c r="P510" s="1"/>
      <c r="Q510" s="1"/>
      <c r="R510" s="1"/>
      <c r="S510" s="1"/>
    </row>
    <row r="511" spans="10:19">
      <c r="J511" s="1"/>
      <c r="K511" s="1"/>
      <c r="L511" s="1"/>
      <c r="M511" s="44"/>
      <c r="N511" s="1"/>
      <c r="O511" s="1"/>
      <c r="P511" s="1"/>
      <c r="Q511" s="1"/>
      <c r="R511" s="1"/>
      <c r="S511" s="1"/>
    </row>
    <row r="512" spans="10:19">
      <c r="J512" s="1"/>
      <c r="K512" s="1"/>
      <c r="L512" s="1"/>
      <c r="M512" s="44"/>
      <c r="N512" s="1"/>
      <c r="O512" s="1"/>
      <c r="P512" s="1"/>
      <c r="Q512" s="1"/>
      <c r="R512" s="1"/>
      <c r="S512" s="1"/>
    </row>
    <row r="513" spans="10:19">
      <c r="J513" s="1"/>
      <c r="K513" s="1"/>
      <c r="L513" s="1"/>
      <c r="M513" s="44"/>
      <c r="N513" s="1"/>
      <c r="O513" s="1"/>
      <c r="P513" s="1"/>
      <c r="Q513" s="1"/>
      <c r="R513" s="1"/>
      <c r="S513" s="1"/>
    </row>
    <row r="514" spans="10:19">
      <c r="J514" s="1"/>
      <c r="K514" s="1"/>
      <c r="L514" s="1"/>
      <c r="M514" s="44"/>
      <c r="N514" s="1"/>
      <c r="O514" s="1"/>
      <c r="P514" s="1"/>
      <c r="Q514" s="1"/>
      <c r="R514" s="1"/>
      <c r="S514" s="1"/>
    </row>
    <row r="515" spans="10:19">
      <c r="J515" s="1"/>
      <c r="K515" s="1"/>
      <c r="L515" s="1"/>
      <c r="M515" s="44"/>
      <c r="N515" s="1"/>
      <c r="O515" s="1"/>
      <c r="P515" s="1"/>
      <c r="Q515" s="1"/>
      <c r="R515" s="1"/>
      <c r="S515" s="1"/>
    </row>
    <row r="516" spans="10:19">
      <c r="J516" s="1"/>
      <c r="K516" s="1"/>
      <c r="L516" s="1"/>
      <c r="M516" s="44"/>
      <c r="N516" s="1"/>
      <c r="O516" s="1"/>
      <c r="P516" s="1"/>
      <c r="Q516" s="1"/>
      <c r="R516" s="1"/>
      <c r="S516" s="1"/>
    </row>
    <row r="517" spans="10:19">
      <c r="J517" s="1"/>
      <c r="K517" s="1"/>
      <c r="L517" s="1"/>
      <c r="M517" s="44"/>
      <c r="N517" s="1"/>
      <c r="O517" s="1"/>
      <c r="P517" s="1"/>
      <c r="Q517" s="1"/>
      <c r="R517" s="1"/>
      <c r="S517" s="1"/>
    </row>
    <row r="518" spans="10:19">
      <c r="J518" s="1"/>
      <c r="K518" s="1"/>
      <c r="L518" s="1"/>
      <c r="M518" s="44"/>
      <c r="N518" s="1"/>
      <c r="O518" s="1"/>
      <c r="P518" s="1"/>
      <c r="Q518" s="1"/>
      <c r="R518" s="1"/>
      <c r="S518" s="1"/>
    </row>
    <row r="519" spans="10:19">
      <c r="J519" s="1"/>
      <c r="K519" s="1"/>
      <c r="L519" s="1"/>
      <c r="M519" s="44"/>
      <c r="N519" s="1"/>
      <c r="O519" s="1"/>
      <c r="P519" s="1"/>
      <c r="Q519" s="1"/>
      <c r="R519" s="1"/>
      <c r="S519" s="1"/>
    </row>
    <row r="520" spans="10:19">
      <c r="J520" s="1"/>
      <c r="K520" s="1"/>
      <c r="L520" s="1"/>
      <c r="M520" s="44"/>
      <c r="N520" s="1"/>
      <c r="O520" s="1"/>
      <c r="P520" s="1"/>
      <c r="Q520" s="1"/>
      <c r="R520" s="1"/>
      <c r="S520" s="1"/>
    </row>
    <row r="521" spans="10:19">
      <c r="J521" s="1"/>
      <c r="K521" s="1"/>
      <c r="L521" s="1"/>
      <c r="M521" s="44"/>
      <c r="N521" s="1"/>
      <c r="O521" s="1"/>
      <c r="P521" s="1"/>
      <c r="Q521" s="1"/>
      <c r="R521" s="1"/>
      <c r="S521" s="1"/>
    </row>
    <row r="522" spans="10:19">
      <c r="J522" s="1"/>
      <c r="K522" s="1"/>
      <c r="L522" s="1"/>
      <c r="M522" s="44"/>
      <c r="N522" s="1"/>
      <c r="O522" s="1"/>
      <c r="P522" s="1"/>
      <c r="Q522" s="1"/>
      <c r="R522" s="1"/>
      <c r="S522" s="1"/>
    </row>
    <row r="523" spans="10:19">
      <c r="J523" s="1"/>
      <c r="K523" s="1"/>
      <c r="L523" s="1"/>
      <c r="M523" s="44"/>
      <c r="N523" s="1"/>
      <c r="O523" s="1"/>
      <c r="P523" s="1"/>
      <c r="Q523" s="1"/>
      <c r="R523" s="1"/>
      <c r="S523" s="1"/>
    </row>
    <row r="524" spans="10:19">
      <c r="J524" s="1"/>
      <c r="K524" s="1"/>
      <c r="L524" s="1"/>
      <c r="M524" s="44"/>
      <c r="N524" s="1"/>
      <c r="O524" s="1"/>
      <c r="P524" s="1"/>
      <c r="Q524" s="1"/>
      <c r="R524" s="1"/>
      <c r="S524" s="1"/>
    </row>
    <row r="525" spans="10:19">
      <c r="J525" s="1"/>
      <c r="K525" s="1"/>
      <c r="L525" s="1"/>
      <c r="M525" s="44"/>
      <c r="N525" s="1"/>
      <c r="O525" s="1"/>
      <c r="P525" s="1"/>
      <c r="Q525" s="1"/>
      <c r="R525" s="1"/>
      <c r="S525" s="1"/>
    </row>
    <row r="526" spans="10:19">
      <c r="J526" s="1"/>
      <c r="K526" s="1"/>
      <c r="L526" s="1"/>
      <c r="M526" s="44"/>
      <c r="N526" s="1"/>
      <c r="O526" s="1"/>
      <c r="P526" s="1"/>
      <c r="Q526" s="1"/>
      <c r="R526" s="1"/>
      <c r="S526" s="1"/>
    </row>
    <row r="527" spans="10:19">
      <c r="J527" s="1"/>
      <c r="K527" s="1"/>
      <c r="L527" s="1"/>
      <c r="M527" s="44"/>
      <c r="N527" s="1"/>
      <c r="O527" s="1"/>
      <c r="P527" s="1"/>
      <c r="Q527" s="1"/>
      <c r="R527" s="1"/>
      <c r="S527" s="1"/>
    </row>
    <row r="528" spans="10:19">
      <c r="J528" s="1"/>
      <c r="K528" s="1"/>
      <c r="L528" s="1"/>
      <c r="M528" s="44"/>
      <c r="N528" s="1"/>
    </row>
    <row r="529" spans="10:14">
      <c r="J529" s="1"/>
      <c r="K529" s="1"/>
      <c r="L529" s="1"/>
      <c r="M529" s="44"/>
      <c r="N529" s="1"/>
    </row>
    <row r="530" spans="10:14">
      <c r="J530" s="1"/>
      <c r="K530" s="1"/>
      <c r="L530" s="1"/>
      <c r="M530" s="44"/>
      <c r="N530" s="1"/>
    </row>
    <row r="531" spans="10:14">
      <c r="J531" s="1"/>
      <c r="K531" s="1"/>
      <c r="L531" s="1"/>
      <c r="M531" s="44"/>
      <c r="N531" s="1"/>
    </row>
    <row r="532" spans="10:14">
      <c r="J532" s="1"/>
      <c r="K532" s="1"/>
      <c r="L532" s="1"/>
      <c r="M532" s="44"/>
      <c r="N532" s="1"/>
    </row>
    <row r="533" spans="10:14">
      <c r="J533" s="1"/>
      <c r="K533" s="1"/>
      <c r="L533" s="1"/>
      <c r="M533" s="44"/>
      <c r="N533" s="1"/>
    </row>
    <row r="534" spans="10:14">
      <c r="J534" s="1"/>
      <c r="K534" s="1"/>
      <c r="L534" s="1"/>
      <c r="M534" s="44"/>
      <c r="N534" s="1"/>
    </row>
    <row r="535" spans="10:14">
      <c r="J535" s="1"/>
      <c r="K535" s="1"/>
      <c r="L535" s="1"/>
      <c r="M535" s="44"/>
      <c r="N535" s="1"/>
    </row>
    <row r="536" spans="10:14">
      <c r="J536" s="1"/>
      <c r="K536" s="1"/>
      <c r="L536" s="1"/>
      <c r="M536" s="44"/>
      <c r="N536" s="1"/>
    </row>
    <row r="537" spans="10:14">
      <c r="J537" s="1"/>
      <c r="K537" s="1"/>
      <c r="L537" s="1"/>
      <c r="M537" s="44"/>
      <c r="N537" s="1"/>
    </row>
    <row r="538" spans="10:14">
      <c r="J538" s="1"/>
      <c r="K538" s="1"/>
      <c r="L538" s="1"/>
      <c r="M538" s="44"/>
      <c r="N538" s="1"/>
    </row>
    <row r="539" spans="10:14">
      <c r="J539" s="1"/>
      <c r="K539" s="1"/>
      <c r="L539" s="1"/>
      <c r="M539" s="44"/>
      <c r="N539" s="1"/>
    </row>
    <row r="540" spans="10:14">
      <c r="J540" s="1"/>
      <c r="K540" s="1"/>
      <c r="L540" s="1"/>
      <c r="M540" s="44"/>
      <c r="N540" s="1"/>
    </row>
    <row r="541" spans="10:14">
      <c r="J541" s="1"/>
      <c r="K541" s="1"/>
      <c r="L541" s="1"/>
      <c r="M541" s="44"/>
      <c r="N541" s="1"/>
    </row>
    <row r="542" spans="10:14">
      <c r="J542" s="1"/>
      <c r="K542" s="1"/>
      <c r="L542" s="1"/>
      <c r="M542" s="44"/>
      <c r="N542" s="1"/>
    </row>
    <row r="543" spans="10:14">
      <c r="J543" s="1"/>
      <c r="K543" s="1"/>
      <c r="L543" s="1"/>
      <c r="M543" s="44"/>
      <c r="N543" s="1"/>
    </row>
    <row r="544" spans="10:14">
      <c r="J544" s="1"/>
      <c r="K544" s="1"/>
      <c r="L544" s="1"/>
      <c r="M544" s="44"/>
      <c r="N544" s="1"/>
    </row>
    <row r="545" spans="10:14">
      <c r="J545" s="1"/>
      <c r="K545" s="1"/>
      <c r="L545" s="1"/>
      <c r="M545" s="44"/>
      <c r="N545" s="1"/>
    </row>
    <row r="546" spans="10:14">
      <c r="J546" s="1"/>
      <c r="K546" s="1"/>
      <c r="L546" s="1"/>
      <c r="M546" s="44"/>
      <c r="N546" s="1"/>
    </row>
    <row r="547" spans="10:14">
      <c r="J547" s="1"/>
      <c r="K547" s="1"/>
      <c r="L547" s="1"/>
      <c r="M547" s="44"/>
      <c r="N547" s="1"/>
    </row>
    <row r="548" spans="10:14">
      <c r="J548" s="1"/>
      <c r="K548" s="1"/>
      <c r="L548" s="1"/>
      <c r="M548" s="44"/>
      <c r="N548" s="1"/>
    </row>
    <row r="549" spans="10:14">
      <c r="J549" s="1"/>
      <c r="K549" s="1"/>
      <c r="L549" s="1"/>
      <c r="M549" s="44"/>
      <c r="N549" s="1"/>
    </row>
    <row r="550" spans="10:14">
      <c r="J550" s="1"/>
      <c r="K550" s="1"/>
      <c r="L550" s="1"/>
      <c r="M550" s="44"/>
      <c r="N550" s="1"/>
    </row>
    <row r="551" spans="10:14">
      <c r="J551" s="1"/>
      <c r="K551" s="1"/>
      <c r="L551" s="1"/>
      <c r="M551" s="44"/>
      <c r="N551" s="1"/>
    </row>
    <row r="552" spans="10:14">
      <c r="J552" s="1"/>
      <c r="K552" s="1"/>
      <c r="L552" s="1"/>
      <c r="M552" s="44"/>
      <c r="N552" s="1"/>
    </row>
    <row r="553" spans="10:14">
      <c r="J553" s="1"/>
      <c r="K553" s="1"/>
      <c r="L553" s="1"/>
      <c r="M553" s="44"/>
      <c r="N553" s="1"/>
    </row>
    <row r="554" spans="10:14">
      <c r="J554" s="1"/>
      <c r="K554" s="1"/>
      <c r="L554" s="1"/>
      <c r="M554" s="44"/>
      <c r="N554" s="1"/>
    </row>
    <row r="555" spans="10:14">
      <c r="J555" s="1"/>
      <c r="K555" s="1"/>
      <c r="L555" s="1"/>
      <c r="M555" s="44"/>
      <c r="N555" s="1"/>
    </row>
  </sheetData>
  <conditionalFormatting sqref="G2:G152 G154:G302 I128:AQ128">
    <cfRule type="cellIs" dxfId="4" priority="6" operator="equal">
      <formula>1</formula>
    </cfRule>
  </conditionalFormatting>
  <conditionalFormatting sqref="F2:F127">
    <cfRule type="cellIs" dxfId="3" priority="5" operator="equal">
      <formula>0</formula>
    </cfRule>
  </conditionalFormatting>
  <conditionalFormatting sqref="F129:F152 F154:F302">
    <cfRule type="cellIs" dxfId="2" priority="4" operator="equal">
      <formula>0</formula>
    </cfRule>
  </conditionalFormatting>
  <conditionalFormatting sqref="G1">
    <cfRule type="cellIs" dxfId="1" priority="3" operator="equal">
      <formula>1</formula>
    </cfRule>
  </conditionalFormatting>
  <conditionalFormatting sqref="F1">
    <cfRule type="cellIs" dxfId="0" priority="2" operator="equal">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2018-08-20T22:17:48Z</dcterms:created>
  <dcterms:modified xsi:type="dcterms:W3CDTF">2020-04-26T20:54:38Z</dcterms:modified>
</cp:coreProperties>
</file>